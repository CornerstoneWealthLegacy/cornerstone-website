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cast" sheetId="3" state="visible" r:id="rId5"/>
    <sheet name="Risk Grid" sheetId="4" state="visible" r:id="rId6"/>
    <sheet name="Valuation" sheetId="5" state="visible" r:id="rId7"/>
    <sheet name="Buyer Test" sheetId="6" state="visible" r:id="rId8"/>
    <sheet name="Scree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Source for the example: illustrative only. On a real engagement cite BizBuySell Insight, IBBA Market Pulse, DealStats/Peercomps/BIZCOMPS, or the Business Reference Guide, with date.</t>
        </r>
      </text>
    </comment>
    <comment ref="B28" authorId="0">
      <text>
        <r>
          <rPr>
            <sz val="10"/>
            <rFont val="Arial"/>
            <family val="2"/>
          </rPr>
          <t xml:space="preserve">Illustrative. Use the current Prime + spread quoted by the preferred lender.</t>
        </r>
      </text>
    </comment>
    <comment ref="B32" authorId="0">
      <text>
        <r>
          <rPr>
            <sz val="10"/>
            <rFont val="Arial"/>
            <family val="2"/>
          </rPr>
          <t xml:space="preserve">Lenders commonly underwrite 1.15x–1.25x. Confirm with the lender.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Example values, invented. Replace on a real engagement.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Equipment appraiser or dealer quotes for anything material</t>
        </r>
      </text>
    </comment>
    <comment ref="B36" authorId="0">
      <text>
        <r>
          <rPr>
            <sz val="10"/>
            <rFont val="Arial"/>
            <family val="2"/>
          </rPr>
          <t xml:space="preserve">Confirm transferability with DBPR ABT; value from recent county license sales</t>
        </r>
      </text>
    </comment>
  </commentList>
</comments>
</file>

<file path=xl/sharedStrings.xml><?xml version="1.0" encoding="utf-8"?>
<sst xmlns="http://schemas.openxmlformats.org/spreadsheetml/2006/main" count="309" uniqueCount="285">
  <si>
    <t xml:space="preserve">Truestead Business Brokerage — BOV Recast Workbook</t>
  </si>
  <si>
    <t xml:space="preserve">Companion to _internal/BUSINESS-EVALUATION.md. Version 1, 2026-09-12.</t>
  </si>
  <si>
    <t xml:space="preserve">How to use</t>
  </si>
  <si>
    <t xml:space="preserve">1</t>
  </si>
  <si>
    <t xml:space="preserve">Fill the blue cells on the Inputs sheet (period labels, weights, multiples, buyer-test assumptions). Yellow cells are the ones that most change the answer.</t>
  </si>
  <si>
    <t xml:space="preserve">2</t>
  </si>
  <si>
    <t xml:space="preserve">Enter the seller's tax-return figures on Recast. Every add-back needs a Y in the Doc? column or it is excluded from SDE automatically.</t>
  </si>
  <si>
    <t xml:space="preserve">3</t>
  </si>
  <si>
    <t xml:space="preserve">Score the Risk Grid. Each adjustment moves the industry multiple; the sheet caps the result between the floor and cap set on Inputs.</t>
  </si>
  <si>
    <t xml:space="preserve">4</t>
  </si>
  <si>
    <t xml:space="preserve">Valuation reconciles the SDE method, the rule-of-thumb/comps midpoint, and the asset floor into an indicated value, a range, and a rounded asking price.</t>
  </si>
  <si>
    <t xml:space="preserve">5</t>
  </si>
  <si>
    <t xml:space="preserve">Buyer Test checks whether a 10%-down SBA buyer with a seller note can cover a market salary and debt service at the target coverage ratio, and solves for the maximum supportable price.</t>
  </si>
  <si>
    <t xml:space="preserve">6</t>
  </si>
  <si>
    <t xml:space="preserve">Screen is the listing-qualification scorecard from the playbook (§1.2). Score 0/1/2 per line; the decision is computed.</t>
  </si>
  <si>
    <t xml:space="preserve">Legend</t>
  </si>
  <si>
    <t xml:space="preserve">Blue text</t>
  </si>
  <si>
    <t xml:space="preserve">Hardcoded input — you type here.</t>
  </si>
  <si>
    <t xml:space="preserve">Black text</t>
  </si>
  <si>
    <t xml:space="preserve">Formula — do not overwrite.</t>
  </si>
  <si>
    <t xml:space="preserve">Green text</t>
  </si>
  <si>
    <t xml:space="preserve">Link to another sheet.</t>
  </si>
  <si>
    <t xml:space="preserve">Yellow fill</t>
  </si>
  <si>
    <t xml:space="preserve">Key assumption; check it on every engagement.</t>
  </si>
  <si>
    <t xml:space="preserve">Example data</t>
  </si>
  <si>
    <t xml:space="preserve">The workbook ships filled with the invented Ormond Beach HVAC example from the playbook §6 so every formula can be checked. Replace all blue cells before using on a real engagement.</t>
  </si>
  <si>
    <t xml:space="preserve">Disclaimer</t>
  </si>
  <si>
    <t xml:space="preserve">This workbook supports a Broker Opinion of Value. It is not an appraisal and must not be described as one (F.S. 475.612 / 475.628 for any real-property component). It relies on seller-provided information that has not been audited. Not for lending, tax, or litigation use — SBA-threshold deals, estate/gift tax, and disputes require a credentialed appraiser (see playbook §2.1).</t>
  </si>
  <si>
    <t xml:space="preserve">Inputs &amp; Assumptions</t>
  </si>
  <si>
    <t xml:space="preserve">Engagement</t>
  </si>
  <si>
    <t xml:space="preserve">Business name</t>
  </si>
  <si>
    <t xml:space="preserve">Example: Ormond Beach HVAC Co. (invented)</t>
  </si>
  <si>
    <t xml:space="preserve">Industry / NAICS</t>
  </si>
  <si>
    <t xml:space="preserve">HVAC contractor — NAICS 238220</t>
  </si>
  <si>
    <t xml:space="preserve">Valuation date</t>
  </si>
  <si>
    <t xml:space="preserve">2026-09-12</t>
  </si>
  <si>
    <t xml:space="preserve">Prepared by</t>
  </si>
  <si>
    <t xml:space="preserve">Truestead Business Brokerage</t>
  </si>
  <si>
    <t xml:space="preserve">Periods and weights (most recent period weighted highest)</t>
  </si>
  <si>
    <t xml:space="preserve">Period label</t>
  </si>
  <si>
    <t xml:space="preserve">FY2023</t>
  </si>
  <si>
    <t xml:space="preserve">FY2024</t>
  </si>
  <si>
    <t xml:space="preserve">FY2025</t>
  </si>
  <si>
    <t xml:space="preserve">TTM Aug-2026</t>
  </si>
  <si>
    <t xml:space="preserve">Weight</t>
  </si>
  <si>
    <t xml:space="preserve">Weights check (must be 100%)</t>
  </si>
  <si>
    <t xml:space="preserve">Multiples</t>
  </si>
  <si>
    <t xml:space="preserve">Industry median SDE multiple</t>
  </si>
  <si>
    <t xml:space="preserve">Source cited for the multiple</t>
  </si>
  <si>
    <t xml:space="preserve">Illustrative — replace with source and date</t>
  </si>
  <si>
    <t xml:space="preserve">Rule-of-thumb multiple — low</t>
  </si>
  <si>
    <t xml:space="preserve">Rule-of-thumb multiple — high</t>
  </si>
  <si>
    <t xml:space="preserve">Revenue multiple (sanity check only)</t>
  </si>
  <si>
    <t xml:space="preserve">Adjusted multiple floor</t>
  </si>
  <si>
    <t xml:space="preserve">Adjusted multiple cap</t>
  </si>
  <si>
    <t xml:space="preserve">Buyer test (SBA 7(a) structure)</t>
  </si>
  <si>
    <t xml:space="preserve">Buyer down payment (% of price)</t>
  </si>
  <si>
    <t xml:space="preserve">Seller note (% of price)</t>
  </si>
  <si>
    <t xml:space="preserve">Seller note interest rate</t>
  </si>
  <si>
    <t xml:space="preserve">Seller note term (years)</t>
  </si>
  <si>
    <t xml:space="preserve">SBA loan interest rate</t>
  </si>
  <si>
    <t xml:space="preserve">SBA loan term (years)</t>
  </si>
  <si>
    <t xml:space="preserve">Closing costs + working capital financed ($)</t>
  </si>
  <si>
    <t xml:space="preserve">Buyer market salary ($/yr)</t>
  </si>
  <si>
    <t xml:space="preserve">Target debt-service coverage ratio</t>
  </si>
  <si>
    <t xml:space="preserve">Pricing &amp; reconciliation</t>
  </si>
  <si>
    <t xml:space="preserve">Asking-price premium over indicated value</t>
  </si>
  <si>
    <t xml:space="preserve">Round prices to nearest ($)</t>
  </si>
  <si>
    <t xml:space="preserve">Range half-width (± around indicated value)</t>
  </si>
  <si>
    <t xml:space="preserve">Weight — SDE method</t>
  </si>
  <si>
    <t xml:space="preserve">Weight — rule-of-thumb / comps midpoint</t>
  </si>
  <si>
    <t xml:space="preserve">Weight — asset approach</t>
  </si>
  <si>
    <t xml:space="preserve">Reconciliation weights check</t>
  </si>
  <si>
    <t xml:space="preserve">Earnings Recast — Seller's Discretionary Earnings</t>
  </si>
  <si>
    <t xml:space="preserve">Enter figures from the business tax returns (not the seller's P&amp;L). Add-backs count only when Doc? = Y.</t>
  </si>
  <si>
    <t xml:space="preserve">Line</t>
  </si>
  <si>
    <t xml:space="preserve">Doc?</t>
  </si>
  <si>
    <t xml:space="preserve">Weighted</t>
  </si>
  <si>
    <t xml:space="preserve">Notes / exhibit reference</t>
  </si>
  <si>
    <t xml:space="preserve">Revenue</t>
  </si>
  <si>
    <t xml:space="preserve">Form 1120-S / 1065 line 1a</t>
  </si>
  <si>
    <t xml:space="preserve">Net income per tax return</t>
  </si>
  <si>
    <t xml:space="preserve">Ordinary business income per return</t>
  </si>
  <si>
    <t xml:space="preserve">Add-backs (counted only when Doc? = Y)</t>
  </si>
  <si>
    <t xml:space="preserve">Owner salary (one owner)</t>
  </si>
  <si>
    <t xml:space="preserve">Y</t>
  </si>
  <si>
    <t xml:space="preserve">W-2 / officer comp schedule</t>
  </si>
  <si>
    <t xml:space="preserve">Owner payroll taxes</t>
  </si>
  <si>
    <t xml:space="preserve">Form 941s</t>
  </si>
  <si>
    <t xml:space="preserve">Owner benefits &amp; perks (auto, health, phone)</t>
  </si>
  <si>
    <t xml:space="preserve">GL detail + policy statements</t>
  </si>
  <si>
    <t xml:space="preserve">Interest expense</t>
  </si>
  <si>
    <t xml:space="preserve">Return, interest line</t>
  </si>
  <si>
    <t xml:space="preserve">Depreciation</t>
  </si>
  <si>
    <t xml:space="preserve">Form 4562</t>
  </si>
  <si>
    <t xml:space="preserve">Amortization</t>
  </si>
  <si>
    <t xml:space="preserve">Non-recurring expenses (describe)</t>
  </si>
  <si>
    <t xml:space="preserve">Settlement agreement + invoice</t>
  </si>
  <si>
    <t xml:space="preserve">Non-cash charges</t>
  </si>
  <si>
    <t xml:space="preserve">Personal expenses run through the business</t>
  </si>
  <si>
    <t xml:space="preserve">N</t>
  </si>
  <si>
    <t xml:space="preserve">No receipts produced — EXCLUDED until documented</t>
  </si>
  <si>
    <t xml:space="preserve">Other add-back (describe)</t>
  </si>
  <si>
    <t xml:space="preserve">Total documented add-backs</t>
  </si>
  <si>
    <t xml:space="preserve">Add-backs excluded for lack of documentation (count)</t>
  </si>
  <si>
    <t xml:space="preserve">Deductions (enter as positive numbers)</t>
  </si>
  <si>
    <t xml:space="preserve">Income that will not transfer (rent from excluded property, PPP/ERC, one-time gains)</t>
  </si>
  <si>
    <t xml:space="preserve">Replacement cost of a second working owner / unpaid family</t>
  </si>
  <si>
    <t xml:space="preserve">Market wage for the role</t>
  </si>
  <si>
    <t xml:space="preserve">Market rent adjustment (market rent − rent actually paid)</t>
  </si>
  <si>
    <t xml:space="preserve">Related-party lease below market; CMA on file</t>
  </si>
  <si>
    <t xml:space="preserve">Other deduction (describe)</t>
  </si>
  <si>
    <t xml:space="preserve">Total deductions</t>
  </si>
  <si>
    <t xml:space="preserve">Result</t>
  </si>
  <si>
    <t xml:space="preserve">Seller's Discretionary Earnings (SDE)</t>
  </si>
  <si>
    <t xml:space="preserve">Weighted SDE drives the valuation</t>
  </si>
  <si>
    <t xml:space="preserve">SDE margin</t>
  </si>
  <si>
    <t xml:space="preserve">SDE growth vs. prior period</t>
  </si>
  <si>
    <t xml:space="preserve">Revenue growth vs. prior period</t>
  </si>
  <si>
    <t xml:space="preserve">Rules: every add-back has an exhibit; unreported cash gets zero credit; three years plus trailing twelve months, weighted toward the most recent.</t>
  </si>
  <si>
    <t xml:space="preserve">Multiple Adjustment — Risk Grid</t>
  </si>
  <si>
    <t xml:space="preserve">Start from the industry median multiple and move it by each factor. Typical range per factor is −0.30x to +0.30x. Document every move in column D.</t>
  </si>
  <si>
    <t xml:space="preserve">Factor</t>
  </si>
  <si>
    <t xml:space="preserve">Assessment</t>
  </si>
  <si>
    <t xml:space="preserve">Adjustment (x)</t>
  </si>
  <si>
    <t xml:space="preserve">Evidence / note</t>
  </si>
  <si>
    <t xml:space="preserve">Owner dependence</t>
  </si>
  <si>
    <t xml:space="preserve">Manager in place; owner ~35 hrs/wk</t>
  </si>
  <si>
    <t xml:space="preserve">Org chart, manager tenure 6 yrs</t>
  </si>
  <si>
    <t xml:space="preserve">Size of SDE</t>
  </si>
  <si>
    <t xml:space="preserve">Weighted SDE ≈ $350K</t>
  </si>
  <si>
    <t xml:space="preserve">Buyer pool and lender appetite widen above $300K</t>
  </si>
  <si>
    <t xml:space="preserve">Trend</t>
  </si>
  <si>
    <t xml:space="preserve">Revenue and SDE up 3 years</t>
  </si>
  <si>
    <t xml:space="preserve">Recast growth rows</t>
  </si>
  <si>
    <t xml:space="preserve">Customer concentration</t>
  </si>
  <si>
    <t xml:space="preserve">Largest customer ~8%</t>
  </si>
  <si>
    <t xml:space="preserve">Customer sales report</t>
  </si>
  <si>
    <t xml:space="preserve">Lease</t>
  </si>
  <si>
    <t xml:space="preserve">6 years remaining, assignable, related-party rent normalized</t>
  </si>
  <si>
    <t xml:space="preserve">Lease + amendment; landlord = seller's LLC</t>
  </si>
  <si>
    <t xml:space="preserve">Books</t>
  </si>
  <si>
    <t xml:space="preserve">Returns reconcile to P&amp;L; deposits tie out</t>
  </si>
  <si>
    <t xml:space="preserve">Bank tie-out worksheet</t>
  </si>
  <si>
    <t xml:space="preserve">Staff</t>
  </si>
  <si>
    <t xml:space="preserve">8 employees, avg tenure 4 yrs; one senior tech at risk</t>
  </si>
  <si>
    <t xml:space="preserve">Payroll register; interview after LOI</t>
  </si>
  <si>
    <t xml:space="preserve">Licenses</t>
  </si>
  <si>
    <t xml:space="preserve">Seller is the F.S. 489 qualifying agent; will stay 12 months</t>
  </si>
  <si>
    <t xml:space="preserve">DBPR license; qualifier plan needed</t>
  </si>
  <si>
    <t xml:space="preserve">Assets</t>
  </si>
  <si>
    <t xml:space="preserve">Fleet avg 5 yrs, maintained</t>
  </si>
  <si>
    <t xml:space="preserve">Equipment list</t>
  </si>
  <si>
    <t xml:space="preserve">Financeability</t>
  </si>
  <si>
    <t xml:space="preserve">SBA-eligible; seller will carry 10% note</t>
  </si>
  <si>
    <t xml:space="preserve">Lender pre-read</t>
  </si>
  <si>
    <t xml:space="preserve">Transition</t>
  </si>
  <si>
    <t xml:space="preserve">12-month transition offered</t>
  </si>
  <si>
    <t xml:space="preserve">Seller interview</t>
  </si>
  <si>
    <t xml:space="preserve">Net adjustment</t>
  </si>
  <si>
    <t xml:space="preserve">Industry median multiple</t>
  </si>
  <si>
    <t xml:space="preserve">Adjusted multiple (capped between floor and cap)</t>
  </si>
  <si>
    <t xml:space="preserve">Valuation — Three Approaches, Reconciliation, Range, Asking Price</t>
  </si>
  <si>
    <t xml:space="preserve">Drivers</t>
  </si>
  <si>
    <t xml:space="preserve">Weighted SDE</t>
  </si>
  <si>
    <t xml:space="preserve">Weighted revenue</t>
  </si>
  <si>
    <t xml:space="preserve">Adjusted multiple</t>
  </si>
  <si>
    <t xml:space="preserve">Approach 1 — Market: multiple of SDE (primary)</t>
  </si>
  <si>
    <t xml:space="preserve">Indicated value — SDE × adjusted multiple</t>
  </si>
  <si>
    <t xml:space="preserve">Approach 2 — Market: rule of thumb / comparable transactions</t>
  </si>
  <si>
    <t xml:space="preserve">Low (SDE × low multiple)</t>
  </si>
  <si>
    <t xml:space="preserve">High (SDE × high multiple)</t>
  </si>
  <si>
    <t xml:space="preserve">Midpoint</t>
  </si>
  <si>
    <t xml:space="preserve">Revenue-multiple sanity check (not weighted)</t>
  </si>
  <si>
    <t xml:space="preserve">Approach 3 — Asset: adjusted net asset value (the floor)</t>
  </si>
  <si>
    <t xml:space="preserve">Furniture, fixtures &amp; equipment (fair market value)</t>
  </si>
  <si>
    <t xml:space="preserve">Vehicles (fair market value)</t>
  </si>
  <si>
    <t xml:space="preserve">Accounts receivable (only if transferred)</t>
  </si>
  <si>
    <t xml:space="preserve">Inventory at cost (only if included in price)</t>
  </si>
  <si>
    <t xml:space="preserve">Other transferable assets</t>
  </si>
  <si>
    <t xml:space="preserve">Less: payables and liabilities assumed by buyer</t>
  </si>
  <si>
    <t xml:space="preserve">Adjusted net asset value</t>
  </si>
  <si>
    <t xml:space="preserve">Reconciliation</t>
  </si>
  <si>
    <t xml:space="preserve">Weighted indicated value (weights on Inputs)</t>
  </si>
  <si>
    <t xml:space="preserve">Indicated value (not below asset floor)</t>
  </si>
  <si>
    <t xml:space="preserve">Range and asking price (rounded)</t>
  </si>
  <si>
    <t xml:space="preserve">Most probable selling price — low</t>
  </si>
  <si>
    <t xml:space="preserve">Most probable selling price — high</t>
  </si>
  <si>
    <t xml:space="preserve">Recommended asking price</t>
  </si>
  <si>
    <t xml:space="preserve">Components valued separately (in addition to the business price)</t>
  </si>
  <si>
    <t xml:space="preserve">Quota liquor license (separate market)</t>
  </si>
  <si>
    <t xml:space="preserve">Real estate (from commercial BPO/CMA or appraisal)</t>
  </si>
  <si>
    <t xml:space="preserve">Inventory at cost, sold in addition to price</t>
  </si>
  <si>
    <t xml:space="preserve">Total transaction value at asking</t>
  </si>
  <si>
    <t xml:space="preserve">Implied metrics at asking price</t>
  </si>
  <si>
    <t xml:space="preserve">Asking price / weighted SDE</t>
  </si>
  <si>
    <t xml:space="preserve">Asking price / weighted revenue</t>
  </si>
  <si>
    <t xml:space="preserve">Asking price vs. asset floor</t>
  </si>
  <si>
    <t xml:space="preserve">Not an appraisal. Prepared for pricing and marketing only. See README.</t>
  </si>
  <si>
    <t xml:space="preserve">Buyer's Test — Debt-Service Coverage and Maximum Supportable Price</t>
  </si>
  <si>
    <t xml:space="preserve">Can an SBA buyer pay a market salary and service the debt at the target coverage ratio? If not, the price is wrong whatever the multiple says.</t>
  </si>
  <si>
    <t xml:space="preserve">Price tested</t>
  </si>
  <si>
    <t xml:space="preserve">Override price to test (leave blank to use the asking price)</t>
  </si>
  <si>
    <t xml:space="preserve">Sources of funds</t>
  </si>
  <si>
    <t xml:space="preserve">Buyer down payment</t>
  </si>
  <si>
    <t xml:space="preserve">Seller note</t>
  </si>
  <si>
    <t xml:space="preserve">Closing costs + working capital financed</t>
  </si>
  <si>
    <t xml:space="preserve">SBA 7(a) loan</t>
  </si>
  <si>
    <t xml:space="preserve">Annual debt service</t>
  </si>
  <si>
    <t xml:space="preserve">SBA loan</t>
  </si>
  <si>
    <t xml:space="preserve">Total annual debt service</t>
  </si>
  <si>
    <t xml:space="preserve">Coverage</t>
  </si>
  <si>
    <t xml:space="preserve">Less: buyer market salary</t>
  </si>
  <si>
    <t xml:space="preserve">Cash available for debt service</t>
  </si>
  <si>
    <t xml:space="preserve">Debt-service coverage ratio</t>
  </si>
  <si>
    <t xml:space="preserve">Cushion after salary and debt service</t>
  </si>
  <si>
    <t xml:space="preserve">Cash-on-cash return on down payment</t>
  </si>
  <si>
    <t xml:space="preserve">Result vs. target coverage</t>
  </si>
  <si>
    <t xml:space="preserve">Maximum supportable price at target coverage</t>
  </si>
  <si>
    <t xml:space="preserve">Annual debt service the cash flow can carry</t>
  </si>
  <si>
    <t xml:space="preserve">Debt service per $1 of price (SBA share + seller-note share)</t>
  </si>
  <si>
    <t xml:space="preserve">Fixed debt service on financed closing costs</t>
  </si>
  <si>
    <t xml:space="preserve">Maximum supportable price</t>
  </si>
  <si>
    <t xml:space="preserve">Asking price as % of maximum supportable</t>
  </si>
  <si>
    <t xml:space="preserve">Sensitivity — price vs. coverage</t>
  </si>
  <si>
    <t xml:space="preserve">Price factor</t>
  </si>
  <si>
    <t xml:space="preserve">Price</t>
  </si>
  <si>
    <t xml:space="preserve">Total debt service</t>
  </si>
  <si>
    <t xml:space="preserve">DSCR</t>
  </si>
  <si>
    <t xml:space="preserve">Cushion</t>
  </si>
  <si>
    <t xml:space="preserve">Listing Screen — Qualification Scorecard</t>
  </si>
  <si>
    <t xml:space="preserve">Score each line 0 (red), 1 (yellow), or 2 (green). See playbook §1.2 for the criteria. Decision is computed below.</t>
  </si>
  <si>
    <t xml:space="preserve">No.</t>
  </si>
  <si>
    <t xml:space="preserve">Score (0–2)</t>
  </si>
  <si>
    <t xml:space="preserve">Critical?</t>
  </si>
  <si>
    <t xml:space="preserve">Green (2)</t>
  </si>
  <si>
    <t xml:space="preserve">Yellow (1)</t>
  </si>
  <si>
    <t xml:space="preserve">Red (0)</t>
  </si>
  <si>
    <t xml:space="preserve">Note</t>
  </si>
  <si>
    <t xml:space="preserve">Seller's Discretionary Earnings</t>
  </si>
  <si>
    <t xml:space="preserve">≥ $150K</t>
  </si>
  <si>
    <t xml:space="preserve">$75K–$150K</t>
  </si>
  <si>
    <t xml:space="preserve">&lt; $75K</t>
  </si>
  <si>
    <t xml:space="preserve">Returns reconcile; deposits tie out</t>
  </si>
  <si>
    <t xml:space="preserve">Small explainable gaps</t>
  </si>
  <si>
    <t xml:space="preserve">Cash business claiming unreported income</t>
  </si>
  <si>
    <t xml:space="preserve">Flat or rising 3 yrs</t>
  </si>
  <si>
    <t xml:space="preserve">One explained down year</t>
  </si>
  <si>
    <t xml:space="preserve">Declining 2+ yrs</t>
  </si>
  <si>
    <t xml:space="preserve">Manager in place; owner &lt; 40 hrs</t>
  </si>
  <si>
    <t xml:space="preserve">Owner key but documented</t>
  </si>
  <si>
    <t xml:space="preserve">Owner is the business</t>
  </si>
  <si>
    <t xml:space="preserve">None &gt; 10%</t>
  </si>
  <si>
    <t xml:space="preserve">Largest 10–25%</t>
  </si>
  <si>
    <t xml:space="preserve">One &gt; 25% or non-assignable</t>
  </si>
  <si>
    <t xml:space="preserve">Lease / premises</t>
  </si>
  <si>
    <t xml:space="preserve">≥ 5 yrs, assignable, market rent</t>
  </si>
  <si>
    <t xml:space="preserve">2–5 yrs, cooperative landlord</t>
  </si>
  <si>
    <t xml:space="preserve">&lt; 2 yrs / hostile / rent reset</t>
  </si>
  <si>
    <t xml:space="preserve">Transferability of licenses</t>
  </si>
  <si>
    <t xml:space="preserve">Transfer routinely</t>
  </si>
  <si>
    <t xml:space="preserve">Needs qualifier / DBPR approval</t>
  </si>
  <si>
    <t xml:space="preserve">Personal to owner</t>
  </si>
  <si>
    <t xml:space="preserve">Legal standing</t>
  </si>
  <si>
    <t xml:space="preserve">Active, no litigation, liens, taxes current</t>
  </si>
  <si>
    <t xml:space="preserve">Minor curable issues</t>
  </si>
  <si>
    <t xml:space="preserve">Litigation / unpaid DOR tax / liens</t>
  </si>
  <si>
    <t xml:space="preserve">Key people staying; no misclassification</t>
  </si>
  <si>
    <t xml:space="preserve">One key person at risk</t>
  </si>
  <si>
    <t xml:space="preserve">Key person leaving / 1099 misclassification</t>
  </si>
  <si>
    <t xml:space="preserve">Seller expectation vs. BOV range</t>
  </si>
  <si>
    <t xml:space="preserve">Within 10%</t>
  </si>
  <si>
    <t xml:space="preserve">Within 25%</t>
  </si>
  <si>
    <t xml:space="preserve">Wants 2× and won't move</t>
  </si>
  <si>
    <t xml:space="preserve">Motivation and timeline</t>
  </si>
  <si>
    <t xml:space="preserve">Clear reason, 6–12 months, will transition</t>
  </si>
  <si>
    <t xml:space="preserve">Vague</t>
  </si>
  <si>
    <t xml:space="preserve">Testing the market / must close in 30 days</t>
  </si>
  <si>
    <t xml:space="preserve">Industry outlook</t>
  </si>
  <si>
    <t xml:space="preserve">Stable or growing locally</t>
  </si>
  <si>
    <t xml:space="preserve">Cyclical</t>
  </si>
  <si>
    <t xml:space="preserve">Structurally declining</t>
  </si>
  <si>
    <t xml:space="preserve">Total score (of 24)</t>
  </si>
  <si>
    <t xml:space="preserve">Critical reds (books, legal standing, expectation gap)</t>
  </si>
  <si>
    <t xml:space="preserve">Decision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</si>
</sst>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\x"/>
    <numFmt numFmtId="167" formatCode="0.00\x"/>
    <numFmt numFmtId="168" formatCode="\$#,##0;&quot;($&quot;#,##0\);\-"/>
    <numFmt numFmtId="169" formatCode="0.0000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274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7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</row>
    <row r="5" customFormat="false" ht="30" hidden="false" customHeight="true" outlineLevel="0" collapsed="false">
      <c r="A5" s="2" t="s">
        <v>3</v>
      </c>
      <c r="B5" s="4" t="s">
        <v>4</v>
      </c>
    </row>
    <row r="6" customFormat="false" ht="30" hidden="false" customHeight="true" outlineLevel="0" collapsed="false">
      <c r="A6" s="2" t="s">
        <v>5</v>
      </c>
      <c r="B6" s="4" t="s">
        <v>6</v>
      </c>
    </row>
    <row r="7" customFormat="false" ht="30" hidden="false" customHeight="true" outlineLevel="0" collapsed="false">
      <c r="A7" s="2" t="s">
        <v>7</v>
      </c>
      <c r="B7" s="4" t="s">
        <v>8</v>
      </c>
    </row>
    <row r="8" customFormat="false" ht="30" hidden="false" customHeight="true" outlineLevel="0" collapsed="false">
      <c r="A8" s="2" t="s">
        <v>9</v>
      </c>
      <c r="B8" s="4" t="s">
        <v>10</v>
      </c>
    </row>
    <row r="9" customFormat="false" ht="30" hidden="false" customHeight="true" outlineLevel="0" collapsed="false">
      <c r="A9" s="2" t="s">
        <v>11</v>
      </c>
      <c r="B9" s="4" t="s">
        <v>12</v>
      </c>
    </row>
    <row r="10" customFormat="false" ht="30" hidden="false" customHeight="true" outlineLevel="0" collapsed="false">
      <c r="A10" s="2" t="s">
        <v>13</v>
      </c>
      <c r="B10" s="4" t="s">
        <v>14</v>
      </c>
    </row>
    <row r="11" customFormat="false" ht="15.75" hidden="false" customHeight="true" outlineLevel="0" collapsed="false">
      <c r="A11" s="3" t="s">
        <v>15</v>
      </c>
    </row>
    <row r="12" customFormat="false" ht="15.75" hidden="false" customHeight="true" outlineLevel="0" collapsed="false">
      <c r="A12" s="2" t="s">
        <v>16</v>
      </c>
      <c r="B12" s="5" t="s">
        <v>17</v>
      </c>
    </row>
    <row r="13" customFormat="false" ht="15.75" hidden="false" customHeight="true" outlineLevel="0" collapsed="false">
      <c r="A13" s="2" t="s">
        <v>18</v>
      </c>
      <c r="B13" s="4" t="s">
        <v>19</v>
      </c>
    </row>
    <row r="14" customFormat="false" ht="15.75" hidden="false" customHeight="true" outlineLevel="0" collapsed="false">
      <c r="A14" s="2" t="s">
        <v>20</v>
      </c>
      <c r="B14" s="6" t="s">
        <v>21</v>
      </c>
    </row>
    <row r="15" customFormat="false" ht="15.75" hidden="false" customHeight="true" outlineLevel="0" collapsed="false">
      <c r="A15" s="2" t="s">
        <v>22</v>
      </c>
      <c r="B15" s="7" t="s">
        <v>23</v>
      </c>
    </row>
    <row r="16" customFormat="false" ht="30" hidden="false" customHeight="true" outlineLevel="0" collapsed="false">
      <c r="A16" s="3" t="s">
        <v>24</v>
      </c>
      <c r="B16" s="4" t="s">
        <v>25</v>
      </c>
    </row>
    <row r="17" customFormat="false" ht="30" hidden="false" customHeight="true" outlineLevel="0" collapsed="false">
      <c r="A17" s="3" t="s">
        <v>26</v>
      </c>
      <c r="B17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8" t="s">
        <v>29</v>
      </c>
      <c r="B3" s="9"/>
      <c r="C3" s="9"/>
    </row>
    <row r="4" customFormat="false" ht="15" hidden="false" customHeight="false" outlineLevel="0" collapsed="false">
      <c r="A4" s="2" t="s">
        <v>30</v>
      </c>
      <c r="B4" s="10" t="s">
        <v>31</v>
      </c>
    </row>
    <row r="5" customFormat="false" ht="15" hidden="false" customHeight="false" outlineLevel="0" collapsed="false">
      <c r="A5" s="2" t="s">
        <v>32</v>
      </c>
      <c r="B5" s="10" t="s">
        <v>33</v>
      </c>
    </row>
    <row r="6" customFormat="false" ht="15" hidden="false" customHeight="false" outlineLevel="0" collapsed="false">
      <c r="A6" s="2" t="s">
        <v>34</v>
      </c>
      <c r="B6" s="10" t="s">
        <v>35</v>
      </c>
    </row>
    <row r="7" customFormat="false" ht="15" hidden="false" customHeight="false" outlineLevel="0" collapsed="false">
      <c r="A7" s="2" t="s">
        <v>36</v>
      </c>
      <c r="B7" s="10" t="s">
        <v>37</v>
      </c>
    </row>
    <row r="9" customFormat="false" ht="15" hidden="false" customHeight="false" outlineLevel="0" collapsed="false">
      <c r="A9" s="8" t="s">
        <v>38</v>
      </c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2" t="s">
        <v>39</v>
      </c>
      <c r="C10" s="10" t="s">
        <v>40</v>
      </c>
      <c r="D10" s="10" t="s">
        <v>41</v>
      </c>
      <c r="E10" s="10" t="s">
        <v>42</v>
      </c>
      <c r="F10" s="10" t="s">
        <v>43</v>
      </c>
    </row>
    <row r="11" customFormat="false" ht="15" hidden="false" customHeight="false" outlineLevel="0" collapsed="false">
      <c r="A11" s="2" t="s">
        <v>44</v>
      </c>
      <c r="C11" s="11" t="n">
        <v>0.1</v>
      </c>
      <c r="D11" s="11" t="n">
        <v>0.2</v>
      </c>
      <c r="E11" s="11" t="n">
        <v>0.3</v>
      </c>
      <c r="F11" s="11" t="n">
        <v>0.4</v>
      </c>
      <c r="G11" s="12" t="n">
        <f aca="false">SUM(C11:F11)</f>
        <v>1</v>
      </c>
    </row>
    <row r="12" customFormat="false" ht="15" hidden="false" customHeight="false" outlineLevel="0" collapsed="false">
      <c r="A12" s="2" t="s">
        <v>45</v>
      </c>
      <c r="B12" s="2" t="str">
        <f aca="false">IF(ROUND(G11,4)=1,"OK","WEIGHTS DO NOT SUM TO 100%")</f>
        <v>OK</v>
      </c>
    </row>
    <row r="14" customFormat="false" ht="15" hidden="false" customHeight="false" outlineLevel="0" collapsed="false">
      <c r="A14" s="8" t="s">
        <v>46</v>
      </c>
      <c r="B14" s="9"/>
      <c r="C14" s="9"/>
    </row>
    <row r="15" customFormat="false" ht="15" hidden="false" customHeight="false" outlineLevel="0" collapsed="false">
      <c r="A15" s="2" t="s">
        <v>47</v>
      </c>
      <c r="B15" s="13" t="n">
        <v>2.5</v>
      </c>
    </row>
    <row r="16" customFormat="false" ht="15" hidden="false" customHeight="false" outlineLevel="0" collapsed="false">
      <c r="A16" s="2" t="s">
        <v>48</v>
      </c>
      <c r="B16" s="10" t="s">
        <v>49</v>
      </c>
    </row>
    <row r="17" customFormat="false" ht="15" hidden="false" customHeight="false" outlineLevel="0" collapsed="false">
      <c r="A17" s="2" t="s">
        <v>50</v>
      </c>
      <c r="B17" s="14" t="n">
        <v>2</v>
      </c>
    </row>
    <row r="18" customFormat="false" ht="15" hidden="false" customHeight="false" outlineLevel="0" collapsed="false">
      <c r="A18" s="2" t="s">
        <v>51</v>
      </c>
      <c r="B18" s="14" t="n">
        <v>3</v>
      </c>
    </row>
    <row r="19" customFormat="false" ht="15" hidden="false" customHeight="false" outlineLevel="0" collapsed="false">
      <c r="A19" s="2" t="s">
        <v>52</v>
      </c>
      <c r="B19" s="15" t="n">
        <v>0.45</v>
      </c>
    </row>
    <row r="20" customFormat="false" ht="15" hidden="false" customHeight="false" outlineLevel="0" collapsed="false">
      <c r="A20" s="2" t="s">
        <v>53</v>
      </c>
      <c r="B20" s="14" t="n">
        <v>1</v>
      </c>
    </row>
    <row r="21" customFormat="false" ht="15" hidden="false" customHeight="false" outlineLevel="0" collapsed="false">
      <c r="A21" s="2" t="s">
        <v>54</v>
      </c>
      <c r="B21" s="14" t="n">
        <v>4</v>
      </c>
    </row>
    <row r="23" customFormat="false" ht="15" hidden="false" customHeight="false" outlineLevel="0" collapsed="false">
      <c r="A23" s="8" t="s">
        <v>55</v>
      </c>
      <c r="B23" s="9"/>
      <c r="C23" s="9"/>
    </row>
    <row r="24" customFormat="false" ht="15" hidden="false" customHeight="false" outlineLevel="0" collapsed="false">
      <c r="A24" s="2" t="s">
        <v>56</v>
      </c>
      <c r="B24" s="11" t="n">
        <v>0.1</v>
      </c>
    </row>
    <row r="25" customFormat="false" ht="15" hidden="false" customHeight="false" outlineLevel="0" collapsed="false">
      <c r="A25" s="2" t="s">
        <v>57</v>
      </c>
      <c r="B25" s="11" t="n">
        <v>0.1</v>
      </c>
    </row>
    <row r="26" customFormat="false" ht="15" hidden="false" customHeight="false" outlineLevel="0" collapsed="false">
      <c r="A26" s="2" t="s">
        <v>58</v>
      </c>
      <c r="B26" s="16" t="n">
        <v>0.07</v>
      </c>
    </row>
    <row r="27" customFormat="false" ht="15" hidden="false" customHeight="false" outlineLevel="0" collapsed="false">
      <c r="A27" s="2" t="s">
        <v>59</v>
      </c>
      <c r="B27" s="10" t="n">
        <v>5</v>
      </c>
    </row>
    <row r="28" customFormat="false" ht="15" hidden="false" customHeight="false" outlineLevel="0" collapsed="false">
      <c r="A28" s="2" t="s">
        <v>60</v>
      </c>
      <c r="B28" s="11" t="n">
        <v>0.105</v>
      </c>
    </row>
    <row r="29" customFormat="false" ht="15" hidden="false" customHeight="false" outlineLevel="0" collapsed="false">
      <c r="A29" s="2" t="s">
        <v>61</v>
      </c>
      <c r="B29" s="10" t="n">
        <v>10</v>
      </c>
    </row>
    <row r="30" customFormat="false" ht="15" hidden="false" customHeight="false" outlineLevel="0" collapsed="false">
      <c r="A30" s="2" t="s">
        <v>62</v>
      </c>
      <c r="B30" s="17" t="n">
        <v>50000</v>
      </c>
    </row>
    <row r="31" customFormat="false" ht="15" hidden="false" customHeight="false" outlineLevel="0" collapsed="false">
      <c r="A31" s="2" t="s">
        <v>63</v>
      </c>
      <c r="B31" s="18" t="n">
        <v>100000</v>
      </c>
    </row>
    <row r="32" customFormat="false" ht="15" hidden="false" customHeight="false" outlineLevel="0" collapsed="false">
      <c r="A32" s="2" t="s">
        <v>64</v>
      </c>
      <c r="B32" s="19" t="n">
        <v>1.25</v>
      </c>
    </row>
    <row r="34" customFormat="false" ht="15" hidden="false" customHeight="false" outlineLevel="0" collapsed="false">
      <c r="A34" s="8" t="s">
        <v>65</v>
      </c>
      <c r="B34" s="9"/>
      <c r="C34" s="9"/>
    </row>
    <row r="35" customFormat="false" ht="15" hidden="false" customHeight="false" outlineLevel="0" collapsed="false">
      <c r="A35" s="2" t="s">
        <v>66</v>
      </c>
      <c r="B35" s="16" t="n">
        <v>0.05</v>
      </c>
    </row>
    <row r="36" customFormat="false" ht="15" hidden="false" customHeight="false" outlineLevel="0" collapsed="false">
      <c r="A36" s="2" t="s">
        <v>67</v>
      </c>
      <c r="B36" s="17" t="n">
        <v>5000</v>
      </c>
    </row>
    <row r="37" customFormat="false" ht="15" hidden="false" customHeight="false" outlineLevel="0" collapsed="false">
      <c r="A37" s="2" t="s">
        <v>68</v>
      </c>
      <c r="B37" s="16" t="n">
        <v>0.075</v>
      </c>
    </row>
    <row r="38" customFormat="false" ht="15" hidden="false" customHeight="false" outlineLevel="0" collapsed="false">
      <c r="A38" s="2" t="s">
        <v>69</v>
      </c>
      <c r="B38" s="11" t="n">
        <v>0.6</v>
      </c>
    </row>
    <row r="39" customFormat="false" ht="15" hidden="false" customHeight="false" outlineLevel="0" collapsed="false">
      <c r="A39" s="2" t="s">
        <v>70</v>
      </c>
      <c r="B39" s="11" t="n">
        <v>0.3</v>
      </c>
    </row>
    <row r="40" customFormat="false" ht="15" hidden="false" customHeight="false" outlineLevel="0" collapsed="false">
      <c r="A40" s="2" t="s">
        <v>71</v>
      </c>
      <c r="B40" s="11" t="n">
        <v>0.1</v>
      </c>
    </row>
    <row r="41" customFormat="false" ht="15" hidden="false" customHeight="false" outlineLevel="0" collapsed="false">
      <c r="A41" s="2" t="s">
        <v>72</v>
      </c>
      <c r="B41" s="2" t="str">
        <f aca="false">IF(ROUND(SUM(B38:B40),4)=1,"OK","WEIGHTS DO NOT SUM TO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5" min="3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A3" s="20" t="s">
        <v>75</v>
      </c>
      <c r="B3" s="20" t="s">
        <v>76</v>
      </c>
      <c r="C3" s="21" t="str">
        <f aca="false">Inputs!C10</f>
        <v>FY2023</v>
      </c>
      <c r="D3" s="21" t="str">
        <f aca="false">Inputs!D10</f>
        <v>FY2024</v>
      </c>
      <c r="E3" s="21" t="str">
        <f aca="false">Inputs!E10</f>
        <v>FY2025</v>
      </c>
      <c r="F3" s="21" t="str">
        <f aca="false">Inputs!F10</f>
        <v>TTM Aug-2026</v>
      </c>
      <c r="G3" s="20" t="s">
        <v>77</v>
      </c>
      <c r="H3" s="20" t="s">
        <v>78</v>
      </c>
    </row>
    <row r="4" customFormat="false" ht="15" hidden="false" customHeight="false" outlineLevel="0" collapsed="false">
      <c r="A4" s="2" t="s">
        <v>79</v>
      </c>
      <c r="C4" s="17" t="n">
        <v>1700000</v>
      </c>
      <c r="D4" s="17" t="n">
        <v>1900000</v>
      </c>
      <c r="E4" s="17" t="n">
        <v>2050000</v>
      </c>
      <c r="F4" s="17" t="n">
        <v>2100000</v>
      </c>
      <c r="G4" s="22" t="n">
        <f aca="false">SUMPRODUCT(Inputs!$C$11:$F$11,C4:F4)</f>
        <v>2005000</v>
      </c>
      <c r="H4" s="2" t="s">
        <v>80</v>
      </c>
    </row>
    <row r="5" customFormat="false" ht="15" hidden="false" customHeight="false" outlineLevel="0" collapsed="false">
      <c r="A5" s="2" t="s">
        <v>81</v>
      </c>
      <c r="C5" s="17" t="n">
        <v>120000</v>
      </c>
      <c r="D5" s="17" t="n">
        <v>150000</v>
      </c>
      <c r="E5" s="17" t="n">
        <v>170000</v>
      </c>
      <c r="F5" s="17" t="n">
        <v>180000</v>
      </c>
      <c r="G5" s="22" t="n">
        <f aca="false">SUMPRODUCT(Inputs!$C$11:$F$11,C5:F5)</f>
        <v>165000</v>
      </c>
      <c r="H5" s="2" t="s">
        <v>82</v>
      </c>
    </row>
    <row r="7" customFormat="false" ht="15" hidden="false" customHeight="false" outlineLevel="0" collapsed="false">
      <c r="A7" s="8" t="s">
        <v>83</v>
      </c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2" t="s">
        <v>84</v>
      </c>
      <c r="B8" s="10" t="s">
        <v>85</v>
      </c>
      <c r="C8" s="17" t="n">
        <v>100000</v>
      </c>
      <c r="D8" s="17" t="n">
        <v>105000</v>
      </c>
      <c r="E8" s="17" t="n">
        <v>110000</v>
      </c>
      <c r="F8" s="17" t="n">
        <v>110000</v>
      </c>
      <c r="H8" s="2" t="s">
        <v>86</v>
      </c>
    </row>
    <row r="9" customFormat="false" ht="15" hidden="false" customHeight="false" outlineLevel="0" collapsed="false">
      <c r="A9" s="2" t="s">
        <v>87</v>
      </c>
      <c r="B9" s="10" t="s">
        <v>85</v>
      </c>
      <c r="C9" s="17" t="n">
        <v>7650</v>
      </c>
      <c r="D9" s="17" t="n">
        <v>8033</v>
      </c>
      <c r="E9" s="17" t="n">
        <v>8415</v>
      </c>
      <c r="F9" s="17" t="n">
        <v>8415</v>
      </c>
      <c r="H9" s="2" t="s">
        <v>88</v>
      </c>
    </row>
    <row r="10" customFormat="false" ht="15" hidden="false" customHeight="false" outlineLevel="0" collapsed="false">
      <c r="A10" s="2" t="s">
        <v>89</v>
      </c>
      <c r="B10" s="10" t="s">
        <v>85</v>
      </c>
      <c r="C10" s="17" t="n">
        <v>22000</v>
      </c>
      <c r="D10" s="17" t="n">
        <v>22000</v>
      </c>
      <c r="E10" s="17" t="n">
        <v>22000</v>
      </c>
      <c r="F10" s="17" t="n">
        <v>22000</v>
      </c>
      <c r="H10" s="2" t="s">
        <v>90</v>
      </c>
    </row>
    <row r="11" customFormat="false" ht="15" hidden="false" customHeight="false" outlineLevel="0" collapsed="false">
      <c r="A11" s="2" t="s">
        <v>91</v>
      </c>
      <c r="B11" s="10" t="s">
        <v>85</v>
      </c>
      <c r="C11" s="17" t="n">
        <v>9000</v>
      </c>
      <c r="D11" s="17" t="n">
        <v>9000</v>
      </c>
      <c r="E11" s="17" t="n">
        <v>9000</v>
      </c>
      <c r="F11" s="17" t="n">
        <v>9000</v>
      </c>
      <c r="H11" s="2" t="s">
        <v>92</v>
      </c>
    </row>
    <row r="12" customFormat="false" ht="15" hidden="false" customHeight="false" outlineLevel="0" collapsed="false">
      <c r="A12" s="2" t="s">
        <v>93</v>
      </c>
      <c r="B12" s="10" t="s">
        <v>85</v>
      </c>
      <c r="C12" s="17" t="n">
        <v>48000</v>
      </c>
      <c r="D12" s="17" t="n">
        <v>48000</v>
      </c>
      <c r="E12" s="17" t="n">
        <v>48000</v>
      </c>
      <c r="F12" s="17" t="n">
        <v>48000</v>
      </c>
      <c r="H12" s="2" t="s">
        <v>94</v>
      </c>
    </row>
    <row r="13" customFormat="false" ht="15" hidden="false" customHeight="false" outlineLevel="0" collapsed="false">
      <c r="A13" s="2" t="s">
        <v>95</v>
      </c>
      <c r="B13" s="10" t="s">
        <v>85</v>
      </c>
      <c r="C13" s="17" t="n">
        <v>0</v>
      </c>
      <c r="D13" s="17" t="n">
        <v>0</v>
      </c>
      <c r="E13" s="17" t="n">
        <v>0</v>
      </c>
      <c r="F13" s="17" t="n">
        <v>0</v>
      </c>
      <c r="H13" s="2" t="s">
        <v>94</v>
      </c>
    </row>
    <row r="14" customFormat="false" ht="15" hidden="false" customHeight="false" outlineLevel="0" collapsed="false">
      <c r="A14" s="2" t="s">
        <v>96</v>
      </c>
      <c r="B14" s="10" t="s">
        <v>85</v>
      </c>
      <c r="C14" s="17" t="n">
        <v>0</v>
      </c>
      <c r="D14" s="17" t="n">
        <v>0</v>
      </c>
      <c r="E14" s="17" t="n">
        <v>15000</v>
      </c>
      <c r="F14" s="17" t="n">
        <v>15000</v>
      </c>
      <c r="H14" s="2" t="s">
        <v>97</v>
      </c>
    </row>
    <row r="15" customFormat="false" ht="15" hidden="false" customHeight="false" outlineLevel="0" collapsed="false">
      <c r="A15" s="2" t="s">
        <v>98</v>
      </c>
      <c r="B15" s="10" t="s">
        <v>85</v>
      </c>
      <c r="C15" s="17" t="n">
        <v>0</v>
      </c>
      <c r="D15" s="17" t="n">
        <v>0</v>
      </c>
      <c r="E15" s="17" t="n">
        <v>0</v>
      </c>
      <c r="F15" s="17" t="n">
        <v>0</v>
      </c>
    </row>
    <row r="16" customFormat="false" ht="15" hidden="false" customHeight="false" outlineLevel="0" collapsed="false">
      <c r="A16" s="2" t="s">
        <v>99</v>
      </c>
      <c r="B16" s="10" t="s">
        <v>100</v>
      </c>
      <c r="C16" s="17" t="n">
        <v>6000</v>
      </c>
      <c r="D16" s="17" t="n">
        <v>6000</v>
      </c>
      <c r="E16" s="17" t="n">
        <v>6000</v>
      </c>
      <c r="F16" s="17" t="n">
        <v>6000</v>
      </c>
      <c r="H16" s="2" t="s">
        <v>101</v>
      </c>
    </row>
    <row r="17" customFormat="false" ht="15" hidden="false" customHeight="false" outlineLevel="0" collapsed="false">
      <c r="A17" s="2" t="s">
        <v>102</v>
      </c>
      <c r="B17" s="10" t="s">
        <v>85</v>
      </c>
      <c r="C17" s="17" t="n">
        <v>0</v>
      </c>
      <c r="D17" s="17" t="n">
        <v>0</v>
      </c>
      <c r="E17" s="17" t="n">
        <v>0</v>
      </c>
      <c r="F17" s="17" t="n">
        <v>0</v>
      </c>
    </row>
    <row r="18" customFormat="false" ht="15" hidden="false" customHeight="false" outlineLevel="0" collapsed="false">
      <c r="A18" s="3" t="s">
        <v>103</v>
      </c>
      <c r="C18" s="23" t="n">
        <f aca="false">SUMPRODUCT(--($B$8:$B$17="Y"),C8:C17)</f>
        <v>186650</v>
      </c>
      <c r="D18" s="23" t="n">
        <f aca="false">SUMPRODUCT(--($B$8:$B$17="Y"),D8:D17)</f>
        <v>192033</v>
      </c>
      <c r="E18" s="23" t="n">
        <f aca="false">SUMPRODUCT(--($B$8:$B$17="Y"),E8:E17)</f>
        <v>212415</v>
      </c>
      <c r="F18" s="23" t="n">
        <f aca="false">SUMPRODUCT(--($B$8:$B$17="Y"),F8:F17)</f>
        <v>212415</v>
      </c>
      <c r="G18" s="23" t="n">
        <f aca="false">SUMPRODUCT(Inputs!$C$11:$F$11,C18:F18)</f>
        <v>205762.1</v>
      </c>
    </row>
    <row r="19" customFormat="false" ht="15" hidden="false" customHeight="false" outlineLevel="0" collapsed="false">
      <c r="A19" s="2" t="s">
        <v>104</v>
      </c>
      <c r="B19" s="2" t="n">
        <f aca="false">SUMPRODUCT(--($B$8:$B$17="N"),--(ABS(C8:C17)+ABS(D8:D17)+ABS(E8:E17)+ABS(F8:F17)&gt;0))</f>
        <v>1</v>
      </c>
    </row>
    <row r="21" customFormat="false" ht="15" hidden="false" customHeight="false" outlineLevel="0" collapsed="false">
      <c r="A21" s="8" t="s">
        <v>105</v>
      </c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2" t="s">
        <v>106</v>
      </c>
      <c r="C22" s="17" t="n">
        <v>0</v>
      </c>
      <c r="D22" s="17" t="n">
        <v>0</v>
      </c>
      <c r="E22" s="17" t="n">
        <v>0</v>
      </c>
      <c r="F22" s="17" t="n">
        <v>0</v>
      </c>
    </row>
    <row r="23" customFormat="false" ht="15" hidden="false" customHeight="false" outlineLevel="0" collapsed="false">
      <c r="A23" s="2" t="s">
        <v>107</v>
      </c>
      <c r="C23" s="17" t="n">
        <v>0</v>
      </c>
      <c r="D23" s="17" t="n">
        <v>0</v>
      </c>
      <c r="E23" s="17" t="n">
        <v>0</v>
      </c>
      <c r="F23" s="17" t="n">
        <v>0</v>
      </c>
      <c r="H23" s="2" t="s">
        <v>108</v>
      </c>
    </row>
    <row r="24" customFormat="false" ht="15" hidden="false" customHeight="false" outlineLevel="0" collapsed="false">
      <c r="A24" s="2" t="s">
        <v>109</v>
      </c>
      <c r="C24" s="17" t="n">
        <v>18000</v>
      </c>
      <c r="D24" s="17" t="n">
        <v>18000</v>
      </c>
      <c r="E24" s="17" t="n">
        <v>18000</v>
      </c>
      <c r="F24" s="17" t="n">
        <v>18000</v>
      </c>
      <c r="H24" s="2" t="s">
        <v>110</v>
      </c>
    </row>
    <row r="25" customFormat="false" ht="15" hidden="false" customHeight="false" outlineLevel="0" collapsed="false">
      <c r="A25" s="2" t="s">
        <v>111</v>
      </c>
      <c r="C25" s="17" t="n">
        <v>0</v>
      </c>
      <c r="D25" s="17" t="n">
        <v>0</v>
      </c>
      <c r="E25" s="17" t="n">
        <v>0</v>
      </c>
      <c r="F25" s="17" t="n">
        <v>0</v>
      </c>
    </row>
    <row r="26" customFormat="false" ht="15" hidden="false" customHeight="false" outlineLevel="0" collapsed="false">
      <c r="A26" s="3" t="s">
        <v>112</v>
      </c>
      <c r="C26" s="23" t="n">
        <f aca="false">SUM(C22:C25)</f>
        <v>18000</v>
      </c>
      <c r="D26" s="23" t="n">
        <f aca="false">SUM(D22:D25)</f>
        <v>18000</v>
      </c>
      <c r="E26" s="23" t="n">
        <f aca="false">SUM(E22:E25)</f>
        <v>18000</v>
      </c>
      <c r="F26" s="23" t="n">
        <f aca="false">SUM(F22:F25)</f>
        <v>18000</v>
      </c>
      <c r="G26" s="23" t="n">
        <f aca="false">SUMPRODUCT(Inputs!$C$11:$F$11,C26:F26)</f>
        <v>18000</v>
      </c>
    </row>
    <row r="28" customFormat="false" ht="15" hidden="false" customHeight="false" outlineLevel="0" collapsed="false">
      <c r="A28" s="8" t="s">
        <v>113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3" t="s">
        <v>114</v>
      </c>
      <c r="C29" s="23" t="n">
        <f aca="false">C5+C18-C26</f>
        <v>288650</v>
      </c>
      <c r="D29" s="23" t="n">
        <f aca="false">D5+D18-D26</f>
        <v>324033</v>
      </c>
      <c r="E29" s="23" t="n">
        <f aca="false">E5+E18-E26</f>
        <v>364415</v>
      </c>
      <c r="F29" s="23" t="n">
        <f aca="false">F5+F18-F26</f>
        <v>374415</v>
      </c>
      <c r="G29" s="23" t="n">
        <f aca="false">SUMPRODUCT(Inputs!$C$11:$F$11,C29:F29)</f>
        <v>352762.1</v>
      </c>
      <c r="H29" s="2" t="s">
        <v>115</v>
      </c>
    </row>
    <row r="30" customFormat="false" ht="15" hidden="false" customHeight="false" outlineLevel="0" collapsed="false">
      <c r="A30" s="2" t="s">
        <v>116</v>
      </c>
      <c r="C30" s="12" t="n">
        <f aca="false">IF(C4=0,0,C29/C4)</f>
        <v>0.169794117647059</v>
      </c>
      <c r="D30" s="12" t="n">
        <f aca="false">IF(D4=0,0,D29/D4)</f>
        <v>0.170543684210526</v>
      </c>
      <c r="E30" s="12" t="n">
        <f aca="false">IF(E4=0,0,E29/E4)</f>
        <v>0.177763414634146</v>
      </c>
      <c r="F30" s="12" t="n">
        <f aca="false">IF(F4=0,0,F29/F4)</f>
        <v>0.178292857142857</v>
      </c>
      <c r="G30" s="12" t="n">
        <f aca="false">IF(G4=0,0,G29/G4)</f>
        <v>0.175941197007481</v>
      </c>
    </row>
    <row r="31" customFormat="false" ht="15" hidden="false" customHeight="false" outlineLevel="0" collapsed="false">
      <c r="A31" s="2" t="s">
        <v>117</v>
      </c>
      <c r="D31" s="12" t="n">
        <f aca="false">IF(C29=0,0,D29/C29-1)</f>
        <v>0.122580980426122</v>
      </c>
      <c r="E31" s="12" t="n">
        <f aca="false">IF(D29=0,0,E29/D29-1)</f>
        <v>0.124623109374662</v>
      </c>
      <c r="F31" s="12" t="n">
        <f aca="false">IF(E29=0,0,F29/E29-1)</f>
        <v>0.0274412414417629</v>
      </c>
    </row>
    <row r="32" customFormat="false" ht="15" hidden="false" customHeight="false" outlineLevel="0" collapsed="false">
      <c r="A32" s="2" t="s">
        <v>118</v>
      </c>
      <c r="D32" s="12" t="n">
        <f aca="false">IF(C4=0,0,D4/C4-1)</f>
        <v>0.117647058823529</v>
      </c>
      <c r="E32" s="12" t="n">
        <f aca="false">IF(D4=0,0,E4/D4-1)</f>
        <v>0.0789473684210527</v>
      </c>
      <c r="F32" s="12" t="n">
        <f aca="false">IF(E4=0,0,F4/E4-1)</f>
        <v>0.024390243902439</v>
      </c>
    </row>
    <row r="34" customFormat="false" ht="15" hidden="false" customHeight="false" outlineLevel="0" collapsed="false">
      <c r="A34" s="2" t="s">
        <v>119</v>
      </c>
    </row>
  </sheetData>
  <dataValidations count="1">
    <dataValidation allowBlank="true" errorStyle="stop" operator="between" showDropDown="false" showErrorMessage="false" showInputMessage="false" sqref="B8:B1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20" t="s">
        <v>122</v>
      </c>
      <c r="B4" s="20" t="s">
        <v>123</v>
      </c>
      <c r="C4" s="20" t="s">
        <v>124</v>
      </c>
      <c r="D4" s="20" t="s">
        <v>125</v>
      </c>
    </row>
    <row r="5" customFormat="false" ht="15" hidden="false" customHeight="false" outlineLevel="0" collapsed="false">
      <c r="A5" s="2" t="s">
        <v>126</v>
      </c>
      <c r="B5" s="10" t="s">
        <v>127</v>
      </c>
      <c r="C5" s="15" t="n">
        <v>0.1</v>
      </c>
      <c r="D5" s="10" t="s">
        <v>128</v>
      </c>
    </row>
    <row r="6" customFormat="false" ht="15" hidden="false" customHeight="false" outlineLevel="0" collapsed="false">
      <c r="A6" s="2" t="s">
        <v>129</v>
      </c>
      <c r="B6" s="10" t="s">
        <v>130</v>
      </c>
      <c r="C6" s="15" t="n">
        <v>0</v>
      </c>
      <c r="D6" s="10" t="s">
        <v>131</v>
      </c>
    </row>
    <row r="7" customFormat="false" ht="15" hidden="false" customHeight="false" outlineLevel="0" collapsed="false">
      <c r="A7" s="2" t="s">
        <v>132</v>
      </c>
      <c r="B7" s="10" t="s">
        <v>133</v>
      </c>
      <c r="C7" s="15" t="n">
        <v>0.1</v>
      </c>
      <c r="D7" s="10" t="s">
        <v>134</v>
      </c>
    </row>
    <row r="8" customFormat="false" ht="15" hidden="false" customHeight="false" outlineLevel="0" collapsed="false">
      <c r="A8" s="2" t="s">
        <v>135</v>
      </c>
      <c r="B8" s="10" t="s">
        <v>136</v>
      </c>
      <c r="C8" s="15" t="n">
        <v>0.05</v>
      </c>
      <c r="D8" s="10" t="s">
        <v>137</v>
      </c>
    </row>
    <row r="9" customFormat="false" ht="15" hidden="false" customHeight="false" outlineLevel="0" collapsed="false">
      <c r="A9" s="2" t="s">
        <v>138</v>
      </c>
      <c r="B9" s="10" t="s">
        <v>139</v>
      </c>
      <c r="C9" s="15" t="n">
        <v>0.05</v>
      </c>
      <c r="D9" s="10" t="s">
        <v>140</v>
      </c>
    </row>
    <row r="10" customFormat="false" ht="15" hidden="false" customHeight="false" outlineLevel="0" collapsed="false">
      <c r="A10" s="2" t="s">
        <v>141</v>
      </c>
      <c r="B10" s="10" t="s">
        <v>142</v>
      </c>
      <c r="C10" s="15" t="n">
        <v>0.05</v>
      </c>
      <c r="D10" s="10" t="s">
        <v>143</v>
      </c>
    </row>
    <row r="11" customFormat="false" ht="15" hidden="false" customHeight="false" outlineLevel="0" collapsed="false">
      <c r="A11" s="2" t="s">
        <v>144</v>
      </c>
      <c r="B11" s="10" t="s">
        <v>145</v>
      </c>
      <c r="C11" s="15" t="n">
        <v>-0.05</v>
      </c>
      <c r="D11" s="10" t="s">
        <v>146</v>
      </c>
    </row>
    <row r="12" customFormat="false" ht="15" hidden="false" customHeight="false" outlineLevel="0" collapsed="false">
      <c r="A12" s="2" t="s">
        <v>147</v>
      </c>
      <c r="B12" s="10" t="s">
        <v>148</v>
      </c>
      <c r="C12" s="15" t="n">
        <v>-0.15</v>
      </c>
      <c r="D12" s="10" t="s">
        <v>149</v>
      </c>
    </row>
    <row r="13" customFormat="false" ht="15" hidden="false" customHeight="false" outlineLevel="0" collapsed="false">
      <c r="A13" s="2" t="s">
        <v>150</v>
      </c>
      <c r="B13" s="10" t="s">
        <v>151</v>
      </c>
      <c r="C13" s="15" t="n">
        <v>0</v>
      </c>
      <c r="D13" s="10" t="s">
        <v>152</v>
      </c>
    </row>
    <row r="14" customFormat="false" ht="15" hidden="false" customHeight="false" outlineLevel="0" collapsed="false">
      <c r="A14" s="2" t="s">
        <v>153</v>
      </c>
      <c r="B14" s="10" t="s">
        <v>154</v>
      </c>
      <c r="C14" s="15" t="n">
        <v>0.05</v>
      </c>
      <c r="D14" s="10" t="s">
        <v>155</v>
      </c>
    </row>
    <row r="15" customFormat="false" ht="15" hidden="false" customHeight="false" outlineLevel="0" collapsed="false">
      <c r="A15" s="2" t="s">
        <v>156</v>
      </c>
      <c r="B15" s="10" t="s">
        <v>157</v>
      </c>
      <c r="C15" s="15" t="n">
        <v>0</v>
      </c>
      <c r="D15" s="10" t="s">
        <v>158</v>
      </c>
    </row>
    <row r="16" customFormat="false" ht="15" hidden="false" customHeight="false" outlineLevel="0" collapsed="false">
      <c r="A16" s="3" t="s">
        <v>159</v>
      </c>
      <c r="C16" s="24" t="n">
        <f aca="false">SUM(C5:C15)</f>
        <v>0.2</v>
      </c>
    </row>
    <row r="17" customFormat="false" ht="15" hidden="false" customHeight="false" outlineLevel="0" collapsed="false">
      <c r="A17" s="2" t="s">
        <v>160</v>
      </c>
      <c r="C17" s="25" t="n">
        <f aca="false">Inputs!B15</f>
        <v>2.5</v>
      </c>
    </row>
    <row r="18" customFormat="false" ht="15" hidden="false" customHeight="false" outlineLevel="0" collapsed="false">
      <c r="A18" s="3" t="s">
        <v>161</v>
      </c>
      <c r="C18" s="24" t="n">
        <f aca="false">MAX(Inputs!B20,MIN(Inputs!B21,C17+C16))</f>
        <v>2.7</v>
      </c>
    </row>
  </sheetData>
  <dataValidations count="1">
    <dataValidation allowBlank="false" errorStyle="stop" operator="between" showDropDown="false" showErrorMessage="false" showInputMessage="false" sqref="C5:C15" type="decimal">
      <formula1>-0.5</formula1>
      <formula2>0.5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162</v>
      </c>
    </row>
    <row r="3" customFormat="false" ht="15" hidden="false" customHeight="false" outlineLevel="0" collapsed="false">
      <c r="A3" s="8" t="s">
        <v>163</v>
      </c>
      <c r="B3" s="9"/>
      <c r="C3" s="9"/>
    </row>
    <row r="4" customFormat="false" ht="15" hidden="false" customHeight="false" outlineLevel="0" collapsed="false">
      <c r="A4" s="2" t="s">
        <v>164</v>
      </c>
      <c r="B4" s="26" t="n">
        <f aca="false">Recast!$G$29</f>
        <v>352762.1</v>
      </c>
    </row>
    <row r="5" customFormat="false" ht="15" hidden="false" customHeight="false" outlineLevel="0" collapsed="false">
      <c r="A5" s="2" t="s">
        <v>165</v>
      </c>
      <c r="B5" s="26" t="n">
        <f aca="false">Recast!$G$4</f>
        <v>2005000</v>
      </c>
    </row>
    <row r="6" customFormat="false" ht="15" hidden="false" customHeight="false" outlineLevel="0" collapsed="false">
      <c r="A6" s="2" t="s">
        <v>166</v>
      </c>
      <c r="B6" s="27" t="n">
        <f aca="false">'Risk Grid'!$C$18</f>
        <v>2.7</v>
      </c>
    </row>
    <row r="8" customFormat="false" ht="15" hidden="false" customHeight="false" outlineLevel="0" collapsed="false">
      <c r="A8" s="8" t="s">
        <v>167</v>
      </c>
      <c r="B8" s="9"/>
      <c r="C8" s="9"/>
    </row>
    <row r="9" customFormat="false" ht="15" hidden="false" customHeight="false" outlineLevel="0" collapsed="false">
      <c r="A9" s="3" t="s">
        <v>168</v>
      </c>
      <c r="B9" s="23" t="n">
        <f aca="false">B4*B6</f>
        <v>952457.67</v>
      </c>
    </row>
    <row r="11" customFormat="false" ht="15" hidden="false" customHeight="false" outlineLevel="0" collapsed="false">
      <c r="A11" s="8" t="s">
        <v>169</v>
      </c>
      <c r="B11" s="9"/>
      <c r="C11" s="9"/>
    </row>
    <row r="12" customFormat="false" ht="15" hidden="false" customHeight="false" outlineLevel="0" collapsed="false">
      <c r="A12" s="2" t="s">
        <v>170</v>
      </c>
      <c r="B12" s="22" t="n">
        <f aca="false">B4*Inputs!B17</f>
        <v>705524.2</v>
      </c>
    </row>
    <row r="13" customFormat="false" ht="15" hidden="false" customHeight="false" outlineLevel="0" collapsed="false">
      <c r="A13" s="2" t="s">
        <v>171</v>
      </c>
      <c r="B13" s="22" t="n">
        <f aca="false">B4*Inputs!B18</f>
        <v>1058286.3</v>
      </c>
    </row>
    <row r="14" customFormat="false" ht="15" hidden="false" customHeight="false" outlineLevel="0" collapsed="false">
      <c r="A14" s="3" t="s">
        <v>172</v>
      </c>
      <c r="B14" s="23" t="n">
        <f aca="false">AVERAGE(B12:B13)</f>
        <v>881905.25</v>
      </c>
    </row>
    <row r="15" customFormat="false" ht="15" hidden="false" customHeight="false" outlineLevel="0" collapsed="false">
      <c r="A15" s="2" t="s">
        <v>173</v>
      </c>
      <c r="B15" s="22" t="n">
        <f aca="false">B5*Inputs!B19</f>
        <v>902250</v>
      </c>
    </row>
    <row r="17" customFormat="false" ht="15" hidden="false" customHeight="false" outlineLevel="0" collapsed="false">
      <c r="A17" s="8" t="s">
        <v>174</v>
      </c>
      <c r="B17" s="9"/>
      <c r="C17" s="9"/>
    </row>
    <row r="18" customFormat="false" ht="15" hidden="false" customHeight="false" outlineLevel="0" collapsed="false">
      <c r="A18" s="2" t="s">
        <v>175</v>
      </c>
      <c r="B18" s="17" t="n">
        <v>210000</v>
      </c>
    </row>
    <row r="19" customFormat="false" ht="15" hidden="false" customHeight="false" outlineLevel="0" collapsed="false">
      <c r="A19" s="2" t="s">
        <v>176</v>
      </c>
      <c r="B19" s="17" t="n">
        <v>165000</v>
      </c>
    </row>
    <row r="20" customFormat="false" ht="15" hidden="false" customHeight="false" outlineLevel="0" collapsed="false">
      <c r="A20" s="2" t="s">
        <v>177</v>
      </c>
      <c r="B20" s="17" t="n">
        <v>95000</v>
      </c>
    </row>
    <row r="21" customFormat="false" ht="15" hidden="false" customHeight="false" outlineLevel="0" collapsed="false">
      <c r="A21" s="2" t="s">
        <v>178</v>
      </c>
      <c r="B21" s="17" t="n">
        <v>0</v>
      </c>
    </row>
    <row r="22" customFormat="false" ht="15" hidden="false" customHeight="false" outlineLevel="0" collapsed="false">
      <c r="A22" s="2" t="s">
        <v>179</v>
      </c>
      <c r="B22" s="17" t="n">
        <v>0</v>
      </c>
    </row>
    <row r="23" customFormat="false" ht="15" hidden="false" customHeight="false" outlineLevel="0" collapsed="false">
      <c r="A23" s="2" t="s">
        <v>180</v>
      </c>
      <c r="B23" s="17" t="n">
        <v>60000</v>
      </c>
    </row>
    <row r="24" customFormat="false" ht="15" hidden="false" customHeight="false" outlineLevel="0" collapsed="false">
      <c r="A24" s="3" t="s">
        <v>181</v>
      </c>
      <c r="B24" s="23" t="n">
        <f aca="false">SUM(B18:B22)-B23</f>
        <v>410000</v>
      </c>
    </row>
    <row r="26" customFormat="false" ht="15" hidden="false" customHeight="false" outlineLevel="0" collapsed="false">
      <c r="A26" s="8" t="s">
        <v>182</v>
      </c>
      <c r="B26" s="9"/>
      <c r="C26" s="9"/>
    </row>
    <row r="27" customFormat="false" ht="15" hidden="false" customHeight="false" outlineLevel="0" collapsed="false">
      <c r="A27" s="2" t="s">
        <v>183</v>
      </c>
      <c r="B27" s="22" t="n">
        <f aca="false">B9*Inputs!B38+B14*Inputs!B39+B24*Inputs!B40</f>
        <v>877046.177</v>
      </c>
    </row>
    <row r="28" customFormat="false" ht="15" hidden="false" customHeight="false" outlineLevel="0" collapsed="false">
      <c r="A28" s="3" t="s">
        <v>184</v>
      </c>
      <c r="B28" s="23" t="n">
        <f aca="false">MAX(B27,B24)</f>
        <v>877046.177</v>
      </c>
    </row>
    <row r="30" customFormat="false" ht="15" hidden="false" customHeight="false" outlineLevel="0" collapsed="false">
      <c r="A30" s="8" t="s">
        <v>185</v>
      </c>
      <c r="B30" s="9"/>
      <c r="C30" s="9"/>
    </row>
    <row r="31" customFormat="false" ht="15" hidden="false" customHeight="false" outlineLevel="0" collapsed="false">
      <c r="A31" s="2" t="s">
        <v>186</v>
      </c>
      <c r="B31" s="22" t="n">
        <f aca="false">ROUND(B28*(1-Inputs!B37)/Inputs!B36,0)*Inputs!B36</f>
        <v>810000</v>
      </c>
    </row>
    <row r="32" customFormat="false" ht="15" hidden="false" customHeight="false" outlineLevel="0" collapsed="false">
      <c r="A32" s="2" t="s">
        <v>187</v>
      </c>
      <c r="B32" s="22" t="n">
        <f aca="false">ROUND(B28*(1+Inputs!B37)/Inputs!B36,0)*Inputs!B36</f>
        <v>945000</v>
      </c>
    </row>
    <row r="33" customFormat="false" ht="15" hidden="false" customHeight="false" outlineLevel="0" collapsed="false">
      <c r="A33" s="3" t="s">
        <v>188</v>
      </c>
      <c r="B33" s="28" t="n">
        <f aca="false">ROUND(B28*(1+Inputs!B35)/Inputs!B36,0)*Inputs!B36</f>
        <v>920000</v>
      </c>
    </row>
    <row r="35" customFormat="false" ht="15" hidden="false" customHeight="false" outlineLevel="0" collapsed="false">
      <c r="A35" s="8" t="s">
        <v>189</v>
      </c>
      <c r="B35" s="9"/>
      <c r="C35" s="9"/>
    </row>
    <row r="36" customFormat="false" ht="15" hidden="false" customHeight="false" outlineLevel="0" collapsed="false">
      <c r="A36" s="2" t="s">
        <v>190</v>
      </c>
      <c r="B36" s="17" t="n">
        <v>0</v>
      </c>
    </row>
    <row r="37" customFormat="false" ht="15" hidden="false" customHeight="false" outlineLevel="0" collapsed="false">
      <c r="A37" s="2" t="s">
        <v>191</v>
      </c>
      <c r="B37" s="17" t="n">
        <v>0</v>
      </c>
    </row>
    <row r="38" customFormat="false" ht="15" hidden="false" customHeight="false" outlineLevel="0" collapsed="false">
      <c r="A38" s="2" t="s">
        <v>192</v>
      </c>
      <c r="B38" s="17" t="n">
        <v>40000</v>
      </c>
    </row>
    <row r="39" customFormat="false" ht="15" hidden="false" customHeight="false" outlineLevel="0" collapsed="false">
      <c r="A39" s="3" t="s">
        <v>193</v>
      </c>
      <c r="B39" s="23" t="n">
        <f aca="false">B33+SUM(B36:B38)</f>
        <v>960000</v>
      </c>
    </row>
    <row r="41" customFormat="false" ht="15" hidden="false" customHeight="false" outlineLevel="0" collapsed="false">
      <c r="A41" s="8" t="s">
        <v>194</v>
      </c>
      <c r="B41" s="9"/>
      <c r="C41" s="9"/>
    </row>
    <row r="42" customFormat="false" ht="15" hidden="false" customHeight="false" outlineLevel="0" collapsed="false">
      <c r="A42" s="2" t="s">
        <v>195</v>
      </c>
      <c r="B42" s="29" t="n">
        <f aca="false">IF(B4=0,0,B33/B4)</f>
        <v>2.6079899172842</v>
      </c>
    </row>
    <row r="43" customFormat="false" ht="15" hidden="false" customHeight="false" outlineLevel="0" collapsed="false">
      <c r="A43" s="2" t="s">
        <v>196</v>
      </c>
      <c r="B43" s="29" t="n">
        <f aca="false">IF(B5=0,0,B33/B5)</f>
        <v>0.458852867830424</v>
      </c>
    </row>
    <row r="44" customFormat="false" ht="15" hidden="false" customHeight="false" outlineLevel="0" collapsed="false">
      <c r="A44" s="2" t="s">
        <v>197</v>
      </c>
      <c r="B44" s="29" t="n">
        <f aca="false">IF(B24=0,0,B33/B24)</f>
        <v>2.24390243902439</v>
      </c>
    </row>
    <row r="46" customFormat="false" ht="15" hidden="false" customHeight="false" outlineLevel="0" collapsed="false">
      <c r="A46" s="2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8" t="s">
        <v>201</v>
      </c>
      <c r="B4" s="9"/>
      <c r="C4" s="9"/>
    </row>
    <row r="5" customFormat="false" ht="15" hidden="false" customHeight="false" outlineLevel="0" collapsed="false">
      <c r="A5" s="2" t="s">
        <v>202</v>
      </c>
      <c r="B5" s="17"/>
    </row>
    <row r="6" customFormat="false" ht="15" hidden="false" customHeight="false" outlineLevel="0" collapsed="false">
      <c r="A6" s="3" t="s">
        <v>201</v>
      </c>
      <c r="B6" s="23" t="n">
        <f aca="false">IF(B5="",Valuation!B33,B5)</f>
        <v>920000</v>
      </c>
    </row>
    <row r="8" customFormat="false" ht="15" hidden="false" customHeight="false" outlineLevel="0" collapsed="false">
      <c r="A8" s="8" t="s">
        <v>203</v>
      </c>
      <c r="B8" s="9"/>
      <c r="C8" s="9"/>
    </row>
    <row r="9" customFormat="false" ht="15" hidden="false" customHeight="false" outlineLevel="0" collapsed="false">
      <c r="A9" s="2" t="s">
        <v>204</v>
      </c>
      <c r="B9" s="22" t="n">
        <f aca="false">B6*Inputs!B24</f>
        <v>92000</v>
      </c>
    </row>
    <row r="10" customFormat="false" ht="15" hidden="false" customHeight="false" outlineLevel="0" collapsed="false">
      <c r="A10" s="2" t="s">
        <v>205</v>
      </c>
      <c r="B10" s="22" t="n">
        <f aca="false">B6*Inputs!B25</f>
        <v>92000</v>
      </c>
    </row>
    <row r="11" customFormat="false" ht="15" hidden="false" customHeight="false" outlineLevel="0" collapsed="false">
      <c r="A11" s="2" t="s">
        <v>206</v>
      </c>
      <c r="B11" s="26" t="n">
        <f aca="false">Inputs!B30</f>
        <v>50000</v>
      </c>
    </row>
    <row r="12" customFormat="false" ht="15" hidden="false" customHeight="false" outlineLevel="0" collapsed="false">
      <c r="A12" s="2" t="s">
        <v>207</v>
      </c>
      <c r="B12" s="22" t="n">
        <f aca="false">B6-B9-B10+B11</f>
        <v>786000</v>
      </c>
    </row>
    <row r="14" customFormat="false" ht="15" hidden="false" customHeight="false" outlineLevel="0" collapsed="false">
      <c r="A14" s="8" t="s">
        <v>208</v>
      </c>
      <c r="B14" s="9"/>
      <c r="C14" s="9"/>
    </row>
    <row r="15" customFormat="false" ht="15" hidden="false" customHeight="false" outlineLevel="0" collapsed="false">
      <c r="A15" s="2" t="s">
        <v>209</v>
      </c>
      <c r="B15" s="22" t="n">
        <f aca="false">-PMT(Inputs!B28/12,Inputs!B29*12,B12)*12</f>
        <v>127270.688958696</v>
      </c>
    </row>
    <row r="16" customFormat="false" ht="15" hidden="false" customHeight="false" outlineLevel="0" collapsed="false">
      <c r="A16" s="2" t="s">
        <v>205</v>
      </c>
      <c r="B16" s="22" t="n">
        <f aca="false">-PMT(Inputs!B26/12,Inputs!B27*12,B10)*12</f>
        <v>21860.5231885459</v>
      </c>
    </row>
    <row r="17" customFormat="false" ht="15" hidden="false" customHeight="false" outlineLevel="0" collapsed="false">
      <c r="A17" s="3" t="s">
        <v>210</v>
      </c>
      <c r="B17" s="23" t="n">
        <f aca="false">B15+B16</f>
        <v>149131.212147242</v>
      </c>
    </row>
    <row r="19" customFormat="false" ht="15" hidden="false" customHeight="false" outlineLevel="0" collapsed="false">
      <c r="A19" s="8" t="s">
        <v>211</v>
      </c>
      <c r="B19" s="9"/>
      <c r="C19" s="9"/>
    </row>
    <row r="20" customFormat="false" ht="15" hidden="false" customHeight="false" outlineLevel="0" collapsed="false">
      <c r="A20" s="2" t="s">
        <v>164</v>
      </c>
      <c r="B20" s="26" t="n">
        <f aca="false">Recast!$G$29</f>
        <v>352762.1</v>
      </c>
    </row>
    <row r="21" customFormat="false" ht="15" hidden="false" customHeight="false" outlineLevel="0" collapsed="false">
      <c r="A21" s="2" t="s">
        <v>212</v>
      </c>
      <c r="B21" s="26" t="n">
        <f aca="false">Inputs!B31</f>
        <v>100000</v>
      </c>
    </row>
    <row r="22" customFormat="false" ht="15" hidden="false" customHeight="false" outlineLevel="0" collapsed="false">
      <c r="A22" s="2" t="s">
        <v>213</v>
      </c>
      <c r="B22" s="22" t="n">
        <f aca="false">B20-B21</f>
        <v>252762.1</v>
      </c>
    </row>
    <row r="23" customFormat="false" ht="15" hidden="false" customHeight="false" outlineLevel="0" collapsed="false">
      <c r="A23" s="3" t="s">
        <v>214</v>
      </c>
      <c r="B23" s="24" t="n">
        <f aca="false">IF(B17=0,0,B22/B17)</f>
        <v>1.69489737500719</v>
      </c>
    </row>
    <row r="24" customFormat="false" ht="15" hidden="false" customHeight="false" outlineLevel="0" collapsed="false">
      <c r="A24" s="2" t="s">
        <v>215</v>
      </c>
      <c r="B24" s="22" t="n">
        <f aca="false">B22-B17</f>
        <v>103630.887852758</v>
      </c>
    </row>
    <row r="25" customFormat="false" ht="15" hidden="false" customHeight="false" outlineLevel="0" collapsed="false">
      <c r="A25" s="2" t="s">
        <v>216</v>
      </c>
      <c r="B25" s="12" t="n">
        <f aca="false">IF(B9=0,0,B24/B9)</f>
        <v>1.12642269405172</v>
      </c>
    </row>
    <row r="26" customFormat="false" ht="15" hidden="false" customHeight="false" outlineLevel="0" collapsed="false">
      <c r="A26" s="3" t="s">
        <v>217</v>
      </c>
      <c r="B26" s="30" t="str">
        <f aca="false">IF(B23&gt;=Inputs!B32,"PASS","FAIL")</f>
        <v>PASS</v>
      </c>
    </row>
    <row r="28" customFormat="false" ht="15" hidden="false" customHeight="false" outlineLevel="0" collapsed="false">
      <c r="A28" s="8" t="s">
        <v>218</v>
      </c>
      <c r="B28" s="9"/>
      <c r="C28" s="9"/>
    </row>
    <row r="29" customFormat="false" ht="15" hidden="false" customHeight="false" outlineLevel="0" collapsed="false">
      <c r="A29" s="2" t="s">
        <v>219</v>
      </c>
      <c r="B29" s="22" t="n">
        <f aca="false">IF(Inputs!B32=0,0,B22/Inputs!B32)</f>
        <v>202209.68</v>
      </c>
    </row>
    <row r="30" customFormat="false" ht="15" hidden="false" customHeight="false" outlineLevel="0" collapsed="false">
      <c r="A30" s="2" t="s">
        <v>220</v>
      </c>
      <c r="B30" s="31" t="n">
        <f aca="false">-PMT(Inputs!B28/12,Inputs!B29*12,1-Inputs!B24-Inputs!B25)*12-PMT(Inputs!B26/12,Inputs!B27*12,Inputs!B25)*12</f>
        <v>0.153299035152945</v>
      </c>
    </row>
    <row r="31" customFormat="false" ht="15" hidden="false" customHeight="false" outlineLevel="0" collapsed="false">
      <c r="A31" s="2" t="s">
        <v>221</v>
      </c>
      <c r="B31" s="22" t="n">
        <f aca="false">-PMT(Inputs!B28/12,Inputs!B29*12,Inputs!B30)*12</f>
        <v>8096.09980653282</v>
      </c>
    </row>
    <row r="32" customFormat="false" ht="15" hidden="false" customHeight="false" outlineLevel="0" collapsed="false">
      <c r="A32" s="3" t="s">
        <v>222</v>
      </c>
      <c r="B32" s="28" t="n">
        <f aca="false">IF(B30=0,0,(B29-B31)/B30)</f>
        <v>1266241.36935893</v>
      </c>
    </row>
    <row r="33" customFormat="false" ht="15" hidden="false" customHeight="false" outlineLevel="0" collapsed="false">
      <c r="A33" s="2" t="s">
        <v>223</v>
      </c>
      <c r="B33" s="12" t="n">
        <f aca="false">IF(B32=0,0,Valuation!B33/B32)</f>
        <v>0.726559739922078</v>
      </c>
    </row>
    <row r="35" customFormat="false" ht="15" hidden="false" customHeight="false" outlineLevel="0" collapsed="false">
      <c r="A35" s="8" t="s">
        <v>224</v>
      </c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20" t="s">
        <v>225</v>
      </c>
      <c r="B36" s="20" t="s">
        <v>226</v>
      </c>
      <c r="C36" s="20" t="s">
        <v>209</v>
      </c>
      <c r="D36" s="20" t="s">
        <v>205</v>
      </c>
      <c r="E36" s="20" t="s">
        <v>227</v>
      </c>
      <c r="F36" s="20" t="s">
        <v>228</v>
      </c>
      <c r="G36" s="20" t="s">
        <v>229</v>
      </c>
      <c r="H36" s="20" t="s">
        <v>113</v>
      </c>
    </row>
    <row r="37" customFormat="false" ht="15" hidden="false" customHeight="false" outlineLevel="0" collapsed="false">
      <c r="A37" s="32" t="n">
        <v>0.8</v>
      </c>
      <c r="B37" s="22" t="n">
        <f aca="false">$B$6*A37</f>
        <v>736000</v>
      </c>
      <c r="C37" s="22" t="n">
        <f aca="false">B37*(1-Inputs!$B$24-Inputs!$B$25)+Inputs!$B$30</f>
        <v>638800</v>
      </c>
      <c r="D37" s="22" t="n">
        <f aca="false">B37*Inputs!$B$25</f>
        <v>73600</v>
      </c>
      <c r="E37" s="22" t="n">
        <f aca="false">-PMT(Inputs!$B$28/12,Inputs!$B$29*12,C37)*12-PMT(Inputs!$B$26/12,Inputs!$B$27*12,D37)*12</f>
        <v>120924.1896791</v>
      </c>
      <c r="F37" s="29" t="n">
        <f aca="false">IF(E37=0,0,$B$22/E37)</f>
        <v>2.09025258445611</v>
      </c>
      <c r="G37" s="22" t="n">
        <f aca="false">$B$22-E37</f>
        <v>131837.9103209</v>
      </c>
      <c r="H37" s="2" t="str">
        <f aca="false">IF(F37&gt;=Inputs!$B$32,"PASS","FAIL")</f>
        <v>PASS</v>
      </c>
    </row>
    <row r="38" customFormat="false" ht="15" hidden="false" customHeight="false" outlineLevel="0" collapsed="false">
      <c r="A38" s="32" t="n">
        <v>0.9</v>
      </c>
      <c r="B38" s="22" t="n">
        <f aca="false">$B$6*A38</f>
        <v>828000</v>
      </c>
      <c r="C38" s="22" t="n">
        <f aca="false">B38*(1-Inputs!$B$24-Inputs!$B$25)+Inputs!$B$30</f>
        <v>712400</v>
      </c>
      <c r="D38" s="22" t="n">
        <f aca="false">B38*Inputs!$B$25</f>
        <v>82800</v>
      </c>
      <c r="E38" s="22" t="n">
        <f aca="false">-PMT(Inputs!$B$28/12,Inputs!$B$29*12,C38)*12-PMT(Inputs!$B$26/12,Inputs!$B$27*12,D38)*12</f>
        <v>135027.700913171</v>
      </c>
      <c r="F38" s="29" t="n">
        <f aca="false">IF(E38=0,0,$B$22/E38)</f>
        <v>1.87192774734821</v>
      </c>
      <c r="G38" s="22" t="n">
        <f aca="false">$B$22-E38</f>
        <v>117734.399086829</v>
      </c>
      <c r="H38" s="2" t="str">
        <f aca="false">IF(F38&gt;=Inputs!$B$32,"PASS","FAIL")</f>
        <v>PASS</v>
      </c>
    </row>
    <row r="39" customFormat="false" ht="15" hidden="false" customHeight="false" outlineLevel="0" collapsed="false">
      <c r="A39" s="32" t="n">
        <v>1</v>
      </c>
      <c r="B39" s="22" t="n">
        <f aca="false">$B$6*A39</f>
        <v>920000</v>
      </c>
      <c r="C39" s="22" t="n">
        <f aca="false">B39*(1-Inputs!$B$24-Inputs!$B$25)+Inputs!$B$30</f>
        <v>786000</v>
      </c>
      <c r="D39" s="22" t="n">
        <f aca="false">B39*Inputs!$B$25</f>
        <v>92000</v>
      </c>
      <c r="E39" s="22" t="n">
        <f aca="false">-PMT(Inputs!$B$28/12,Inputs!$B$29*12,C39)*12-PMT(Inputs!$B$26/12,Inputs!$B$27*12,D39)*12</f>
        <v>149131.212147242</v>
      </c>
      <c r="F39" s="29" t="n">
        <f aca="false">IF(E39=0,0,$B$22/E39)</f>
        <v>1.69489737500719</v>
      </c>
      <c r="G39" s="22" t="n">
        <f aca="false">$B$22-E39</f>
        <v>103630.887852758</v>
      </c>
      <c r="H39" s="2" t="str">
        <f aca="false">IF(F39&gt;=Inputs!$B$32,"PASS","FAIL")</f>
        <v>PASS</v>
      </c>
    </row>
    <row r="40" customFormat="false" ht="15" hidden="false" customHeight="false" outlineLevel="0" collapsed="false">
      <c r="A40" s="32" t="n">
        <v>1.1</v>
      </c>
      <c r="B40" s="22" t="n">
        <f aca="false">$B$6*A40</f>
        <v>1012000</v>
      </c>
      <c r="C40" s="22" t="n">
        <f aca="false">B40*(1-Inputs!$B$24-Inputs!$B$25)+Inputs!$B$30</f>
        <v>859600</v>
      </c>
      <c r="D40" s="22" t="n">
        <f aca="false">B40*Inputs!$B$25</f>
        <v>101200</v>
      </c>
      <c r="E40" s="22" t="n">
        <f aca="false">-PMT(Inputs!$B$28/12,Inputs!$B$29*12,C40)*12-PMT(Inputs!$B$26/12,Inputs!$B$27*12,D40)*12</f>
        <v>163234.723381313</v>
      </c>
      <c r="F40" s="29" t="n">
        <f aca="false">IF(E40=0,0,$B$22/E40)</f>
        <v>1.54845791853706</v>
      </c>
      <c r="G40" s="22" t="n">
        <f aca="false">$B$22-E40</f>
        <v>89527.3766186872</v>
      </c>
      <c r="H40" s="2" t="str">
        <f aca="false">IF(F40&gt;=Inputs!$B$32,"PASS","FAIL")</f>
        <v>PASS</v>
      </c>
    </row>
    <row r="41" customFormat="false" ht="15" hidden="false" customHeight="false" outlineLevel="0" collapsed="false">
      <c r="A41" s="32" t="n">
        <v>1.2</v>
      </c>
      <c r="B41" s="22" t="n">
        <f aca="false">$B$6*A41</f>
        <v>1104000</v>
      </c>
      <c r="C41" s="22" t="n">
        <f aca="false">B41*(1-Inputs!$B$24-Inputs!$B$25)+Inputs!$B$30</f>
        <v>933200</v>
      </c>
      <c r="D41" s="22" t="n">
        <f aca="false">B41*Inputs!$B$25</f>
        <v>110400</v>
      </c>
      <c r="E41" s="22" t="n">
        <f aca="false">-PMT(Inputs!$B$28/12,Inputs!$B$29*12,C41)*12-PMT(Inputs!$B$26/12,Inputs!$B$27*12,D41)*12</f>
        <v>177338.234615384</v>
      </c>
      <c r="F41" s="29" t="n">
        <f aca="false">IF(E41=0,0,$B$22/E41)</f>
        <v>1.42531079407776</v>
      </c>
      <c r="G41" s="22" t="n">
        <f aca="false">$B$22-E41</f>
        <v>75423.8653846164</v>
      </c>
      <c r="H41" s="2" t="str">
        <f aca="false">IF(F41&gt;=Inputs!$B$32,"PASS","FAIL")</f>
        <v>PASS</v>
      </c>
    </row>
    <row r="42" customFormat="false" ht="15" hidden="false" customHeight="false" outlineLevel="0" collapsed="false">
      <c r="A42" s="32" t="n">
        <v>1.3</v>
      </c>
      <c r="B42" s="22" t="n">
        <f aca="false">$B$6*A42</f>
        <v>1196000</v>
      </c>
      <c r="C42" s="22" t="n">
        <f aca="false">B42*(1-Inputs!$B$24-Inputs!$B$25)+Inputs!$B$30</f>
        <v>1006800</v>
      </c>
      <c r="D42" s="22" t="n">
        <f aca="false">B42*Inputs!$B$25</f>
        <v>119600</v>
      </c>
      <c r="E42" s="22" t="n">
        <f aca="false">-PMT(Inputs!$B$28/12,Inputs!$B$29*12,C42)*12-PMT(Inputs!$B$26/12,Inputs!$B$27*12,D42)*12</f>
        <v>191441.745849455</v>
      </c>
      <c r="F42" s="29" t="n">
        <f aca="false">IF(E42=0,0,$B$22/E42)</f>
        <v>1.32030816412825</v>
      </c>
      <c r="G42" s="22" t="n">
        <f aca="false">$B$22-E42</f>
        <v>61320.3541505455</v>
      </c>
      <c r="H42" s="2" t="str">
        <f aca="false">IF(F42&gt;=Inputs!$B$32,"PASS","FAIL")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3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15" hidden="false" customHeight="false" outlineLevel="0" collapsed="false">
      <c r="A4" s="20" t="s">
        <v>232</v>
      </c>
      <c r="B4" s="20" t="s">
        <v>122</v>
      </c>
      <c r="C4" s="20" t="s">
        <v>233</v>
      </c>
      <c r="D4" s="20" t="s">
        <v>234</v>
      </c>
      <c r="E4" s="20" t="s">
        <v>235</v>
      </c>
      <c r="F4" s="20" t="s">
        <v>236</v>
      </c>
      <c r="G4" s="20" t="s">
        <v>237</v>
      </c>
      <c r="H4" s="20" t="s">
        <v>238</v>
      </c>
    </row>
    <row r="5" customFormat="false" ht="15" hidden="false" customHeight="false" outlineLevel="0" collapsed="false">
      <c r="A5" s="2" t="n">
        <v>1</v>
      </c>
      <c r="B5" s="2" t="s">
        <v>239</v>
      </c>
      <c r="C5" s="10" t="n">
        <v>2</v>
      </c>
      <c r="D5" s="2"/>
      <c r="E5" s="2" t="s">
        <v>240</v>
      </c>
      <c r="F5" s="2" t="s">
        <v>241</v>
      </c>
      <c r="G5" s="2" t="s">
        <v>242</v>
      </c>
      <c r="H5" s="10"/>
    </row>
    <row r="6" customFormat="false" ht="15" hidden="false" customHeight="false" outlineLevel="0" collapsed="false">
      <c r="A6" s="2" t="n">
        <v>2</v>
      </c>
      <c r="B6" s="2" t="s">
        <v>141</v>
      </c>
      <c r="C6" s="10" t="n">
        <v>2</v>
      </c>
      <c r="D6" s="2" t="s">
        <v>85</v>
      </c>
      <c r="E6" s="2" t="s">
        <v>243</v>
      </c>
      <c r="F6" s="2" t="s">
        <v>244</v>
      </c>
      <c r="G6" s="2" t="s">
        <v>245</v>
      </c>
      <c r="H6" s="10"/>
    </row>
    <row r="7" customFormat="false" ht="15" hidden="false" customHeight="false" outlineLevel="0" collapsed="false">
      <c r="A7" s="2" t="n">
        <v>3</v>
      </c>
      <c r="B7" s="2" t="s">
        <v>132</v>
      </c>
      <c r="C7" s="10" t="n">
        <v>2</v>
      </c>
      <c r="D7" s="2"/>
      <c r="E7" s="2" t="s">
        <v>246</v>
      </c>
      <c r="F7" s="2" t="s">
        <v>247</v>
      </c>
      <c r="G7" s="2" t="s">
        <v>248</v>
      </c>
      <c r="H7" s="10"/>
    </row>
    <row r="8" customFormat="false" ht="15" hidden="false" customHeight="false" outlineLevel="0" collapsed="false">
      <c r="A8" s="2" t="n">
        <v>4</v>
      </c>
      <c r="B8" s="2" t="s">
        <v>126</v>
      </c>
      <c r="C8" s="10" t="n">
        <v>1</v>
      </c>
      <c r="D8" s="2"/>
      <c r="E8" s="2" t="s">
        <v>249</v>
      </c>
      <c r="F8" s="2" t="s">
        <v>250</v>
      </c>
      <c r="G8" s="2" t="s">
        <v>251</v>
      </c>
      <c r="H8" s="10"/>
    </row>
    <row r="9" customFormat="false" ht="15" hidden="false" customHeight="false" outlineLevel="0" collapsed="false">
      <c r="A9" s="2" t="n">
        <v>5</v>
      </c>
      <c r="B9" s="2" t="s">
        <v>135</v>
      </c>
      <c r="C9" s="10" t="n">
        <v>2</v>
      </c>
      <c r="D9" s="2"/>
      <c r="E9" s="2" t="s">
        <v>252</v>
      </c>
      <c r="F9" s="2" t="s">
        <v>253</v>
      </c>
      <c r="G9" s="2" t="s">
        <v>254</v>
      </c>
      <c r="H9" s="10"/>
    </row>
    <row r="10" customFormat="false" ht="15" hidden="false" customHeight="false" outlineLevel="0" collapsed="false">
      <c r="A10" s="2" t="n">
        <v>6</v>
      </c>
      <c r="B10" s="2" t="s">
        <v>255</v>
      </c>
      <c r="C10" s="10" t="n">
        <v>2</v>
      </c>
      <c r="D10" s="2"/>
      <c r="E10" s="2" t="s">
        <v>256</v>
      </c>
      <c r="F10" s="2" t="s">
        <v>257</v>
      </c>
      <c r="G10" s="2" t="s">
        <v>258</v>
      </c>
      <c r="H10" s="10"/>
    </row>
    <row r="11" customFormat="false" ht="15" hidden="false" customHeight="false" outlineLevel="0" collapsed="false">
      <c r="A11" s="2" t="n">
        <v>7</v>
      </c>
      <c r="B11" s="2" t="s">
        <v>259</v>
      </c>
      <c r="C11" s="10" t="n">
        <v>1</v>
      </c>
      <c r="D11" s="2"/>
      <c r="E11" s="2" t="s">
        <v>260</v>
      </c>
      <c r="F11" s="2" t="s">
        <v>261</v>
      </c>
      <c r="G11" s="2" t="s">
        <v>262</v>
      </c>
      <c r="H11" s="10"/>
    </row>
    <row r="12" customFormat="false" ht="15" hidden="false" customHeight="false" outlineLevel="0" collapsed="false">
      <c r="A12" s="2" t="n">
        <v>8</v>
      </c>
      <c r="B12" s="2" t="s">
        <v>263</v>
      </c>
      <c r="C12" s="10" t="n">
        <v>2</v>
      </c>
      <c r="D12" s="2" t="s">
        <v>85</v>
      </c>
      <c r="E12" s="2" t="s">
        <v>264</v>
      </c>
      <c r="F12" s="2" t="s">
        <v>265</v>
      </c>
      <c r="G12" s="2" t="s">
        <v>266</v>
      </c>
      <c r="H12" s="10"/>
    </row>
    <row r="13" customFormat="false" ht="15" hidden="false" customHeight="false" outlineLevel="0" collapsed="false">
      <c r="A13" s="2" t="n">
        <v>9</v>
      </c>
      <c r="B13" s="2" t="s">
        <v>144</v>
      </c>
      <c r="C13" s="10" t="n">
        <v>1</v>
      </c>
      <c r="D13" s="2"/>
      <c r="E13" s="2" t="s">
        <v>267</v>
      </c>
      <c r="F13" s="2" t="s">
        <v>268</v>
      </c>
      <c r="G13" s="2" t="s">
        <v>269</v>
      </c>
      <c r="H13" s="10"/>
    </row>
    <row r="14" customFormat="false" ht="15" hidden="false" customHeight="false" outlineLevel="0" collapsed="false">
      <c r="A14" s="2" t="n">
        <v>10</v>
      </c>
      <c r="B14" s="2" t="s">
        <v>270</v>
      </c>
      <c r="C14" s="10" t="n">
        <v>2</v>
      </c>
      <c r="D14" s="2" t="s">
        <v>85</v>
      </c>
      <c r="E14" s="2" t="s">
        <v>271</v>
      </c>
      <c r="F14" s="2" t="s">
        <v>272</v>
      </c>
      <c r="G14" s="2" t="s">
        <v>273</v>
      </c>
      <c r="H14" s="10"/>
    </row>
    <row r="15" customFormat="false" ht="15" hidden="false" customHeight="false" outlineLevel="0" collapsed="false">
      <c r="A15" s="2" t="n">
        <v>11</v>
      </c>
      <c r="B15" s="2" t="s">
        <v>274</v>
      </c>
      <c r="C15" s="10" t="n">
        <v>2</v>
      </c>
      <c r="D15" s="2"/>
      <c r="E15" s="2" t="s">
        <v>275</v>
      </c>
      <c r="F15" s="2" t="s">
        <v>276</v>
      </c>
      <c r="G15" s="2" t="s">
        <v>277</v>
      </c>
      <c r="H15" s="10"/>
    </row>
    <row r="16" customFormat="false" ht="15" hidden="false" customHeight="false" outlineLevel="0" collapsed="false">
      <c r="A16" s="2" t="n">
        <v>12</v>
      </c>
      <c r="B16" s="2" t="s">
        <v>278</v>
      </c>
      <c r="C16" s="10" t="n">
        <v>2</v>
      </c>
      <c r="D16" s="2"/>
      <c r="E16" s="2" t="s">
        <v>279</v>
      </c>
      <c r="F16" s="2" t="s">
        <v>280</v>
      </c>
      <c r="G16" s="2" t="s">
        <v>281</v>
      </c>
      <c r="H16" s="10"/>
    </row>
    <row r="17" customFormat="false" ht="15" hidden="false" customHeight="false" outlineLevel="0" collapsed="false">
      <c r="B17" s="3" t="s">
        <v>282</v>
      </c>
      <c r="C17" s="3" t="n">
        <f aca="false">SUM(C5:C16)</f>
        <v>21</v>
      </c>
    </row>
    <row r="18" customFormat="false" ht="15" hidden="false" customHeight="false" outlineLevel="0" collapsed="false">
      <c r="B18" s="2" t="s">
        <v>283</v>
      </c>
      <c r="C18" s="2" t="n">
        <f aca="false">SUMPRODUCT(--(D5:D16="Y"),--(C5:C16=0))</f>
        <v>0</v>
      </c>
    </row>
    <row r="19" customFormat="false" ht="15" hidden="false" customHeight="false" outlineLevel="0" collapsed="false">
      <c r="B19" s="3" t="s">
        <v>284</v>
      </c>
      <c r="C19" s="30" t="str">
        <f aca="false">IF(C18&gt;0,"DECLINE — critical red",IF(C17&gt;=17,"LIST",IF(C17&gt;=12,"EXIT-READINESS AUDIT FIRST","DECLINE — re-look in 12 months")))</f>
        <v>LIST</v>
      </c>
    </row>
  </sheetData>
  <dataValidations count="1">
    <dataValidation allowBlank="false" errorStyle="stop" operator="between" showDropDown="false" showErrorMessage="false" showInputMessage="false" sqref="C5:C16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2026-09-12T21:17:25Z</dcterms:created>
  <dc:creator>openpyxl</dc:creator>
  <dc:description/>
  <dc:language>en-US</dc:language>
  <cp:lastModifiedBy/>
  <dcterms:modified xsi:type="dcterms:W3CDTF">2026-09-12T21:17:25Z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